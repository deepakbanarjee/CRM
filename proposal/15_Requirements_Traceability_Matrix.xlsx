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eabil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<sst xmlns="http://schemas.openxmlformats.org/spreadsheetml/2006/main" count="171" uniqueCount="131">
  <si>
    <t xml:space="preserve">Requirements Traceability Matrix</t>
  </si>
  <si>
    <t xml:space="preserve">Every requirement in the client's brief traced to design, component, phase, acceptance test and demo step. Status is an input.</t>
  </si>
  <si>
    <t xml:space="preserve">Req ID</t>
  </si>
  <si>
    <t xml:space="preserve">Requirement (client brief)</t>
  </si>
  <si>
    <t xml:space="preserve">Design response (Document 03)</t>
  </si>
  <si>
    <t xml:space="preserve">Component</t>
  </si>
  <si>
    <t xml:space="preserve">Phase / milestone</t>
  </si>
  <si>
    <t xml:space="preserve">Doc 04 acceptance</t>
  </si>
  <si>
    <t xml:space="preserve">Acceptance test</t>
  </si>
  <si>
    <t xml:space="preserve">Demo step (Doc 12)</t>
  </si>
  <si>
    <t xml:space="preserve">Status</t>
  </si>
  <si>
    <t xml:space="preserve">R1</t>
  </si>
  <si>
    <t xml:space="preserve">Retrieve specific info from documents on request; controlled access; not open internet</t>
  </si>
  <si>
    <t xml:space="preserve">Hybrid retrieval + re-ranking over private corpus; permission filter applied before retrieval; closed-domain system instruction (s.9.2)</t>
  </si>
  <si>
    <t xml:space="preserve">Intelligence service, model gateway, PostgreSQL/pgvector</t>
  </si>
  <si>
    <t xml:space="preserve">Phase 1 / M1</t>
  </si>
  <si>
    <t xml:space="preserve">s.6 Retrieval</t>
  </si>
  <si>
    <t xml:space="preserve">Golden set: source in top results 90%+; permission tests: user without ACL never receives passage</t>
  </si>
  <si>
    <t xml:space="preserve">3.2 step 2</t>
  </si>
  <si>
    <t xml:space="preserve">Planned</t>
  </si>
  <si>
    <t xml:space="preserve">R2</t>
  </si>
  <si>
    <t xml:space="preserve">Flag contradictions: different figures, dates or terms for the same thing across documents</t>
  </si>
  <si>
    <t xml:space="preserve">Claims ledger with normalisation; cross-document comparison with tolerance; LLM adjudication for terms; findings with both quotes (s.3.3, s.9.1 steps 6-7)</t>
  </si>
  <si>
    <t xml:space="preserve">Intelligence service, claims and findings tables</t>
  </si>
  <si>
    <t xml:space="preserve">Phase 2 / M2</t>
  </si>
  <si>
    <t xml:space="preserve">s.6 Contradiction detection</t>
  </si>
  <si>
    <t xml:space="preserve">Seeded conflicts detected 90%+; false positives under 15%; superseded versions not flagged</t>
  </si>
  <si>
    <t xml:space="preserve">3.2 steps 2-3; seeded issues 1-3</t>
  </si>
  <si>
    <t xml:space="preserve">R3</t>
  </si>
  <si>
    <t xml:space="preserve">Track missing information: gaps where a decision needs a document or data point not yet provided</t>
  </si>
  <si>
    <t xml:space="preserve">Decision checklists (configurable) matched against ledger and inventory; dangling-reference detection (s.9.1 step 8)</t>
  </si>
  <si>
    <t xml:space="preserve">Intelligence service, decisions and checklist tables</t>
  </si>
  <si>
    <t xml:space="preserve">s.6 Gap tracking</t>
  </si>
  <si>
    <t xml:space="preserve">All catalogued checklist items evaluated correctly on test decisions; dangling references detected</t>
  </si>
  <si>
    <t xml:space="preserve">3.2 step 4; seeded issues 4-5</t>
  </si>
  <si>
    <t xml:space="preserve">R4</t>
  </si>
  <si>
    <t xml:space="preserve">Answer management questions in plain language based only on the loaded document set</t>
  </si>
  <si>
    <t xml:space="preserve">Grounded generation with citations; independent grounding check; refusal when unsupported; Arabic and English (s.9.2 steps 5-6)</t>
  </si>
  <si>
    <t xml:space="preserve">Intelligence service, model gateway, web app</t>
  </si>
  <si>
    <t xml:space="preserve">s.6 Answer faithfulness; Refusal correctness</t>
  </si>
  <si>
    <t xml:space="preserve">Faithfulness 95%+; refusal correctness 90%+; per-language reporting</t>
  </si>
  <si>
    <t xml:space="preserve">3.2 steps 2, 5, 6; seeded issues 6, 8</t>
  </si>
  <si>
    <t xml:space="preserve">R5</t>
  </si>
  <si>
    <t xml:space="preserve">Closed-domain RAG with verification/audit layer, not a general chatbot</t>
  </si>
  <si>
    <t xml:space="preserve">Audit log of every query with retrieved passages and answer; hash-chained events; findings workbench (s.3.2, s.12)</t>
  </si>
  <si>
    <t xml:space="preserve">Platform audit log, web app</t>
  </si>
  <si>
    <t xml:space="preserve">s.6 Security</t>
  </si>
  <si>
    <t xml:space="preserve">Audit chain verifies; every query has a logged trace</t>
  </si>
  <si>
    <t xml:space="preserve">3.2 step 11</t>
  </si>
  <si>
    <t xml:space="preserve">C1</t>
  </si>
  <si>
    <t xml:space="preserve">Three categories: investors; partners/counterparties; customers/members; GCC-specific pipeline</t>
  </si>
  <si>
    <t xml:space="preserve">Category-typed relationships; configurable pipelines and stage sets per category; GCC template (s.2.2, s.8.3)</t>
  </si>
  <si>
    <t xml:space="preserve">Core API, CRM schema, web app</t>
  </si>
  <si>
    <t xml:space="preserve">s.6 Reporting (reconciliation)</t>
  </si>
  <si>
    <t xml:space="preserve">All three categories and the GCC pipeline demonstrated; stages configurable without code</t>
  </si>
  <si>
    <t xml:space="preserve">3.2 step 7, 10</t>
  </si>
  <si>
    <t xml:space="preserve">C2</t>
  </si>
  <si>
    <t xml:space="preserve">Contact and relationship records with stage/status tracking</t>
  </si>
  <si>
    <t xml:space="preserve">Organisation, Person, Relationship entities; stage history; status values incl. dormant (s.8.3)</t>
  </si>
  <si>
    <t xml:space="preserve">Entity registry, CRM schema</t>
  </si>
  <si>
    <t xml:space="preserve">s.6 Reporting</t>
  </si>
  <si>
    <t xml:space="preserve">Record CRUD and stage transitions with history; import of 500-row sample</t>
  </si>
  <si>
    <t xml:space="preserve">3.2 step 7</t>
  </si>
  <si>
    <t xml:space="preserve">C3</t>
  </si>
  <si>
    <t xml:space="preserve">Follow-up scheduling and reminders</t>
  </si>
  <si>
    <t xml:space="preserve">Follow-up tasks with due dates and owners; daily and hourly reminder job to staff; overdue and stale surfacing (s.9.4)</t>
  </si>
  <si>
    <t xml:space="preserve">Workers, Core API, web app</t>
  </si>
  <si>
    <t xml:space="preserve">Reminder generated for due and overdue follow-ups; none sent to external contacts</t>
  </si>
  <si>
    <t xml:space="preserve">C4</t>
  </si>
  <si>
    <t xml:space="preserve">Any outreach must go through human approval before sending; no fully automated outbound</t>
  </si>
  <si>
    <t xml:space="preserve">Outreach Request workflow; four-eyes rule enforced in database; no scheduled-send path; send under approver's authority via connected mailbox; versioned and logged (s.9.3, s.12.3)</t>
  </si>
  <si>
    <t xml:space="preserve">Core API, approval policies, mailbox connector, audit log</t>
  </si>
  <si>
    <t xml:space="preserve">s.6 Approval gate</t>
  </si>
  <si>
    <t xml:space="preserve">Automated tests: send without approval fails; drafter cannot approve; audit query shows approver on every send</t>
  </si>
  <si>
    <t xml:space="preserve">3.2 step 8</t>
  </si>
  <si>
    <t xml:space="preserve">C5</t>
  </si>
  <si>
    <t xml:space="preserve">Basic reporting: who has been contacted, stage, overdue</t>
  </si>
  <si>
    <t xml:space="preserve">Dashboards and exports: activity by period, pipeline by stage and category, overdue, dormant, approval turnaround (s.10.1)</t>
  </si>
  <si>
    <t xml:space="preserve">Core API reports, web app</t>
  </si>
  <si>
    <t xml:space="preserve">Dashboard figures reconcile to database counts</t>
  </si>
  <si>
    <t xml:space="preserve">3.2 step 9</t>
  </si>
  <si>
    <t xml:space="preserve">X1</t>
  </si>
  <si>
    <t xml:space="preserve">Proposed build approach and tools for each system</t>
  </si>
  <si>
    <t xml:space="preserve">Documents 03 and 06</t>
  </si>
  <si>
    <t xml:space="preserve">n/a</t>
  </si>
  <si>
    <t xml:space="preserve">Proposal</t>
  </si>
  <si>
    <t xml:space="preserve">Client review</t>
  </si>
  <si>
    <t xml:space="preserve">First meeting slides 6-12</t>
  </si>
  <si>
    <t xml:space="preserve">Delivered</t>
  </si>
  <si>
    <t xml:space="preserve">X2</t>
  </si>
  <si>
    <t xml:space="preserve">Structure that accepts real data later without rebuild</t>
  </si>
  <si>
    <t xml:space="preserve">Schema-first with custom fields; configuration-driven rules; import templates; connectors; removable demo data (s.5; Document 07)</t>
  </si>
  <si>
    <t xml:space="preserve">Platform, Core API, web app admin</t>
  </si>
  <si>
    <t xml:space="preserve">Phase 1-2 / M2</t>
  </si>
  <si>
    <t xml:space="preserve">s.6 Reporting (import)</t>
  </si>
  <si>
    <t xml:space="preserve">Custom field and stage added without code; import preview; demo-data removal leaves configuration intact</t>
  </si>
  <si>
    <t xml:space="preserve">3.2 step 10</t>
  </si>
  <si>
    <t xml:space="preserve">X3</t>
  </si>
  <si>
    <t xml:space="preserve">Timeline to working structure and demo</t>
  </si>
  <si>
    <t xml:space="preserve">Document 04: working structure week 6; integrated demo week 8-9</t>
  </si>
  <si>
    <t xml:space="preserve">Slide 14</t>
  </si>
  <si>
    <t xml:space="preserve">X4</t>
  </si>
  <si>
    <t xml:space="preserve">Cost or pricing model</t>
  </si>
  <si>
    <t xml:space="preserve">Documents 05 and 14: run-cost tiers, build effort, three pricing options, 3-year TCO</t>
  </si>
  <si>
    <t xml:space="preserve">Slides 15-16</t>
  </si>
  <si>
    <t xml:space="preserve">N1</t>
  </si>
  <si>
    <t xml:space="preserve">Arabic and English documents, questions, answers and interface (assumed; Document 13 gap 1)</t>
  </si>
  <si>
    <t xml:space="preserve">OCR with Arabic; multilingual embeddings; RTL layout; per-language evaluation</t>
  </si>
  <si>
    <t xml:space="preserve">Intelligence service, web app</t>
  </si>
  <si>
    <t xml:space="preserve">Phase 1-3</t>
  </si>
  <si>
    <t xml:space="preserve">s.6 Answer faithfulness</t>
  </si>
  <si>
    <t xml:space="preserve">Arabic golden-set scores within 10 points of English</t>
  </si>
  <si>
    <t xml:space="preserve">3.2 step 5</t>
  </si>
  <si>
    <t xml:space="preserve">N2</t>
  </si>
  <si>
    <t xml:space="preserve">Data residency by policy (Document 13 gap 2)</t>
  </si>
  <si>
    <t xml:space="preserve">Deployment patterns A/B/C; gateway routing by classification (s.3.5)</t>
  </si>
  <si>
    <t xml:space="preserve">Model gateway, classification step</t>
  </si>
  <si>
    <t xml:space="preserve">Phase 0 decision; Phase 1 build</t>
  </si>
  <si>
    <t xml:space="preserve">Restricted-class document never routed to external provider (gateway log test)</t>
  </si>
  <si>
    <t xml:space="preserve">Slide 11</t>
  </si>
  <si>
    <t xml:space="preserve">N3</t>
  </si>
  <si>
    <t xml:space="preserve">Document version handling (Document 13 gap 5)</t>
  </si>
  <si>
    <t xml:space="preserve">Checksum and naming detection; supersedes links; comparison excludes superseded (s.9.1 step 1)</t>
  </si>
  <si>
    <t xml:space="preserve">Intelligence service</t>
  </si>
  <si>
    <t xml:space="preserve">Seeded v1/v2 pair produces no contradiction flag</t>
  </si>
  <si>
    <t xml:space="preserve">Seeded issue 3</t>
  </si>
  <si>
    <t xml:space="preserve">Coverage summary</t>
  </si>
  <si>
    <t xml:space="preserve">In progress</t>
  </si>
  <si>
    <t xml:space="preserve">Accepted</t>
  </si>
  <si>
    <t xml:space="preserve">Deferred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</si>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</sst>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10"/>
      <color rgb="FF5A62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D"/>
      </left>
      <right style="thin">
        <color rgb="FFC9CFDD"/>
      </right>
      <top style="thin">
        <color rgb="FFC9CFDD"/>
      </top>
      <bottom style="thin">
        <color rgb="FFC9C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F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4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0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">
        <v>19</v>
      </c>
    </row>
    <row r="6" customFormat="false" ht="35.0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5" t="s">
        <v>19</v>
      </c>
    </row>
    <row r="7" customFormat="false" ht="23.85" hidden="false" customHeight="false" outlineLevel="0" collapsed="false">
      <c r="A7" s="4" t="s">
        <v>28</v>
      </c>
      <c r="B7" s="4" t="s">
        <v>29</v>
      </c>
      <c r="C7" s="4" t="s">
        <v>30</v>
      </c>
      <c r="D7" s="4" t="s">
        <v>31</v>
      </c>
      <c r="E7" s="4" t="s">
        <v>24</v>
      </c>
      <c r="F7" s="4" t="s">
        <v>32</v>
      </c>
      <c r="G7" s="4" t="s">
        <v>33</v>
      </c>
      <c r="H7" s="4" t="s">
        <v>34</v>
      </c>
      <c r="I7" s="5" t="s">
        <v>19</v>
      </c>
    </row>
    <row r="8" customFormat="false" ht="46.2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15</v>
      </c>
      <c r="F8" s="4" t="s">
        <v>39</v>
      </c>
      <c r="G8" s="4" t="s">
        <v>40</v>
      </c>
      <c r="H8" s="4" t="s">
        <v>41</v>
      </c>
      <c r="I8" s="5" t="s">
        <v>19</v>
      </c>
    </row>
    <row r="9" customFormat="false" ht="23.85" hidden="false" customHeight="false" outlineLevel="0" collapsed="false">
      <c r="A9" s="4" t="s">
        <v>42</v>
      </c>
      <c r="B9" s="4" t="s">
        <v>43</v>
      </c>
      <c r="C9" s="4" t="s">
        <v>44</v>
      </c>
      <c r="D9" s="4" t="s">
        <v>45</v>
      </c>
      <c r="E9" s="4" t="s">
        <v>15</v>
      </c>
      <c r="F9" s="4" t="s">
        <v>46</v>
      </c>
      <c r="G9" s="4" t="s">
        <v>47</v>
      </c>
      <c r="H9" s="4" t="s">
        <v>48</v>
      </c>
      <c r="I9" s="5" t="s">
        <v>19</v>
      </c>
    </row>
    <row r="10" customFormat="false" ht="23.85" hidden="false" customHeight="false" outlineLevel="0" collapsed="false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15</v>
      </c>
      <c r="F10" s="4" t="s">
        <v>53</v>
      </c>
      <c r="G10" s="4" t="s">
        <v>54</v>
      </c>
      <c r="H10" s="4" t="s">
        <v>55</v>
      </c>
      <c r="I10" s="5" t="s">
        <v>19</v>
      </c>
    </row>
    <row r="11" customFormat="false" ht="23.85" hidden="false" customHeight="false" outlineLevel="0" collapsed="false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15</v>
      </c>
      <c r="F11" s="4" t="s">
        <v>60</v>
      </c>
      <c r="G11" s="4" t="s">
        <v>61</v>
      </c>
      <c r="H11" s="4" t="s">
        <v>62</v>
      </c>
      <c r="I11" s="5" t="s">
        <v>19</v>
      </c>
    </row>
    <row r="12" customFormat="false" ht="23.85" hidden="false" customHeight="false" outlineLevel="0" collapsed="false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15</v>
      </c>
      <c r="F12" s="4" t="s">
        <v>60</v>
      </c>
      <c r="G12" s="4" t="s">
        <v>67</v>
      </c>
      <c r="H12" s="4" t="s">
        <v>62</v>
      </c>
      <c r="I12" s="5" t="s">
        <v>19</v>
      </c>
    </row>
    <row r="13" customFormat="false" ht="46.25" hidden="false" customHeight="false" outlineLevel="0" collapsed="false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24</v>
      </c>
      <c r="F13" s="4" t="s">
        <v>72</v>
      </c>
      <c r="G13" s="4" t="s">
        <v>73</v>
      </c>
      <c r="H13" s="4" t="s">
        <v>74</v>
      </c>
      <c r="I13" s="5" t="s">
        <v>19</v>
      </c>
    </row>
    <row r="14" customFormat="false" ht="23.85" hidden="false" customHeight="false" outlineLevel="0" collapsed="false">
      <c r="A14" s="4" t="s">
        <v>75</v>
      </c>
      <c r="B14" s="4" t="s">
        <v>76</v>
      </c>
      <c r="C14" s="4" t="s">
        <v>77</v>
      </c>
      <c r="D14" s="4" t="s">
        <v>78</v>
      </c>
      <c r="E14" s="4" t="s">
        <v>24</v>
      </c>
      <c r="F14" s="4" t="s">
        <v>60</v>
      </c>
      <c r="G14" s="4" t="s">
        <v>79</v>
      </c>
      <c r="H14" s="4" t="s">
        <v>80</v>
      </c>
      <c r="I14" s="5" t="s">
        <v>19</v>
      </c>
    </row>
    <row r="15" customFormat="false" ht="15" hidden="false" customHeight="false" outlineLevel="0" collapsed="false">
      <c r="A15" s="4" t="s">
        <v>81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84</v>
      </c>
      <c r="G15" s="4" t="s">
        <v>86</v>
      </c>
      <c r="H15" s="4" t="s">
        <v>87</v>
      </c>
      <c r="I15" s="5" t="s">
        <v>88</v>
      </c>
    </row>
    <row r="16" customFormat="false" ht="35.05" hidden="false" customHeight="false" outlineLevel="0" collapsed="false">
      <c r="A16" s="4" t="s">
        <v>89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  <c r="H16" s="4" t="s">
        <v>96</v>
      </c>
      <c r="I16" s="5" t="s">
        <v>19</v>
      </c>
    </row>
    <row r="17" customFormat="false" ht="23.85" hidden="false" customHeight="false" outlineLevel="0" collapsed="false">
      <c r="A17" s="4" t="s">
        <v>97</v>
      </c>
      <c r="B17" s="4" t="s">
        <v>98</v>
      </c>
      <c r="C17" s="4" t="s">
        <v>99</v>
      </c>
      <c r="D17" s="4" t="s">
        <v>84</v>
      </c>
      <c r="E17" s="4" t="s">
        <v>85</v>
      </c>
      <c r="F17" s="4" t="s">
        <v>84</v>
      </c>
      <c r="G17" s="4" t="s">
        <v>86</v>
      </c>
      <c r="H17" s="4" t="s">
        <v>100</v>
      </c>
      <c r="I17" s="5" t="s">
        <v>88</v>
      </c>
    </row>
    <row r="18" customFormat="false" ht="23.85" hidden="false" customHeight="false" outlineLevel="0" collapsed="false">
      <c r="A18" s="4" t="s">
        <v>101</v>
      </c>
      <c r="B18" s="4" t="s">
        <v>102</v>
      </c>
      <c r="C18" s="4" t="s">
        <v>103</v>
      </c>
      <c r="D18" s="4" t="s">
        <v>84</v>
      </c>
      <c r="E18" s="4" t="s">
        <v>85</v>
      </c>
      <c r="F18" s="4" t="s">
        <v>84</v>
      </c>
      <c r="G18" s="4" t="s">
        <v>86</v>
      </c>
      <c r="H18" s="4" t="s">
        <v>104</v>
      </c>
      <c r="I18" s="5" t="s">
        <v>88</v>
      </c>
    </row>
    <row r="19" customFormat="false" ht="23.85" hidden="false" customHeight="false" outlineLevel="0" collapsed="false">
      <c r="A19" s="4" t="s">
        <v>105</v>
      </c>
      <c r="B19" s="4" t="s">
        <v>106</v>
      </c>
      <c r="C19" s="4" t="s">
        <v>107</v>
      </c>
      <c r="D19" s="4" t="s">
        <v>108</v>
      </c>
      <c r="E19" s="4" t="s">
        <v>109</v>
      </c>
      <c r="F19" s="4" t="s">
        <v>110</v>
      </c>
      <c r="G19" s="4" t="s">
        <v>111</v>
      </c>
      <c r="H19" s="4" t="s">
        <v>112</v>
      </c>
      <c r="I19" s="5" t="s">
        <v>19</v>
      </c>
    </row>
    <row r="20" customFormat="false" ht="23.85" hidden="false" customHeight="false" outlineLevel="0" collapsed="false">
      <c r="A20" s="4" t="s">
        <v>113</v>
      </c>
      <c r="B20" s="4" t="s">
        <v>114</v>
      </c>
      <c r="C20" s="4" t="s">
        <v>115</v>
      </c>
      <c r="D20" s="4" t="s">
        <v>116</v>
      </c>
      <c r="E20" s="4" t="s">
        <v>117</v>
      </c>
      <c r="F20" s="4" t="s">
        <v>46</v>
      </c>
      <c r="G20" s="4" t="s">
        <v>118</v>
      </c>
      <c r="H20" s="4" t="s">
        <v>119</v>
      </c>
      <c r="I20" s="5" t="s">
        <v>19</v>
      </c>
    </row>
    <row r="21" customFormat="false" ht="23.85" hidden="false" customHeight="false" outlineLevel="0" collapsed="false">
      <c r="A21" s="4" t="s">
        <v>120</v>
      </c>
      <c r="B21" s="4" t="s">
        <v>121</v>
      </c>
      <c r="C21" s="4" t="s">
        <v>122</v>
      </c>
      <c r="D21" s="4" t="s">
        <v>123</v>
      </c>
      <c r="E21" s="4" t="s">
        <v>24</v>
      </c>
      <c r="F21" s="4" t="s">
        <v>25</v>
      </c>
      <c r="G21" s="4" t="s">
        <v>124</v>
      </c>
      <c r="H21" s="4" t="s">
        <v>125</v>
      </c>
      <c r="I21" s="5" t="s">
        <v>19</v>
      </c>
    </row>
    <row r="23" customFormat="false" ht="23.85" hidden="false" customHeight="false" outlineLevel="0" collapsed="false">
      <c r="A23" s="6" t="s">
        <v>126</v>
      </c>
    </row>
    <row r="24" customFormat="false" ht="15" hidden="false" customHeight="false" outlineLevel="0" collapsed="false">
      <c r="A24" s="4" t="s">
        <v>19</v>
      </c>
      <c r="B24" s="4" t="n">
        <f aca="false">COUNTIF(I5:I21,"Planned")</f>
        <v>14</v>
      </c>
    </row>
    <row r="25" customFormat="false" ht="15" hidden="false" customHeight="false" outlineLevel="0" collapsed="false">
      <c r="A25" s="4" t="s">
        <v>127</v>
      </c>
      <c r="B25" s="4" t="n">
        <f aca="false">COUNTIF(I5:I21,"In progress")</f>
        <v>0</v>
      </c>
    </row>
    <row r="26" customFormat="false" ht="15" hidden="false" customHeight="false" outlineLevel="0" collapsed="false">
      <c r="A26" s="4" t="s">
        <v>88</v>
      </c>
      <c r="B26" s="4" t="n">
        <f aca="false">COUNTIF(I5:I21,"Delivered")</f>
        <v>3</v>
      </c>
    </row>
    <row r="27" customFormat="false" ht="15" hidden="false" customHeight="false" outlineLevel="0" collapsed="false">
      <c r="A27" s="4" t="s">
        <v>128</v>
      </c>
      <c r="B27" s="4" t="n">
        <f aca="false">COUNTIF(I5:I21,"Accepted")</f>
        <v>0</v>
      </c>
    </row>
    <row r="28" customFormat="false" ht="15" hidden="false" customHeight="false" outlineLevel="0" collapsed="false">
      <c r="A28" s="4" t="s">
        <v>129</v>
      </c>
      <c r="B28" s="4" t="n">
        <f aca="false">COUNTIF(I5:I21,"Deferred")</f>
        <v>0</v>
      </c>
    </row>
    <row r="29" customFormat="false" ht="15" hidden="false" customHeight="false" outlineLevel="0" collapsed="false">
      <c r="A29" s="4" t="s">
        <v>130</v>
      </c>
      <c r="B29" s="4" t="n">
        <f aca="false">COUNTA(A5:A21)</f>
        <v>17</v>
      </c>
    </row>
  </sheetData>
  <dataValidations count="1">
    <dataValidation allowBlank="false" errorStyle="stop" operator="between" showDropDown="false" showErrorMessage="false" showInputMessage="false" sqref="I5:I21" type="list">
      <formula1>"Planned,In progress,Delivered,Accepted,Deferred"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2026-09-06T07:36:56Z</dcterms:created>
  <dc:creator>openpyxl</dc:creator>
  <dc:description/>
  <dc:language>en-US</dc:language>
  <cp:lastModifiedBy/>
  <dcterms:modified xsi:type="dcterms:W3CDTF">2026-09-06T07:36:56Z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