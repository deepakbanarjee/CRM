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Rate_Card" sheetId="3" state="visible" r:id="rId5"/>
    <sheet name="Run_Cost_by_Tier" sheetId="4" state="visible" r:id="rId6"/>
    <sheet name="Build_Effort" sheetId="5" state="visible" r:id="rId7"/>
    <sheet name="Pricing_Options" sheetId="6" state="visible" r:id="rId8"/>
    <sheet name="TCO_3y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Default is the simple average of the rate card. Override with an agreed blended rate (type a number over the formula) if the client prefers a single rate.</t>
        </r>
      </text>
    </comment>
    <comment ref="B14" authorId="0">
      <text>
        <r>
          <rPr>
            <sz val="10"/>
            <rFont val="Arial"/>
            <family val="2"/>
          </rPr>
          <t xml:space="preserve">Standard 15%, Business 20%, Enterprise 30% of the annual platform fee.</t>
        </r>
      </text>
    </comment>
    <comment ref="B15" authorId="0">
      <text>
        <r>
          <rPr>
            <sz val="10"/>
            <rFont val="Arial"/>
            <family val="2"/>
          </rPr>
          <t xml:space="preserve">Covers upgrades, model changes, evaluation re-runs, minor enhancements. Typical range 15-22% of build.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Applied to fixed-price phases to cover scope discovery. 10-15% is typical.</t>
        </r>
      </text>
    </comment>
  </commentList>
</comments>
</file>

<file path=xl/sharedStrings.xml><?xml version="1.0" encoding="utf-8"?>
<sst xmlns="http://schemas.openxmlformats.org/spreadsheetml/2006/main" count="328" uniqueCount="279">
  <si>
    <t xml:space="preserve">Cost and Pricing Model</t>
  </si>
  <si>
    <t xml:space="preserve">Document 05 of the proposal package. Every number on the calculation sheets is a formula driven by the Assumptions sheet.</t>
  </si>
  <si>
    <t xml:space="preserve">HOW TO USE</t>
  </si>
  <si>
    <t xml:space="preserve">1. Change only BLUE cells on the Assumptions and Rate_Card sheets. Black cells are formulas; green cells link to other sheets.</t>
  </si>
  <si>
    <t xml:space="preserve">2. Yellow-filled cells are the key commercial levers to agree with the client: blended rate, support tier, and the deployment pattern per tier.</t>
  </si>
  <si>
    <t xml:space="preserve">3. Run_Cost_by_Tier shows monthly operating cost for four tiers (pilot to group scale). Build_Effort shows role effort and fees per phase. Pricing_Options shows the three commercial structures. TCO_3yr adds them up.</t>
  </si>
  <si>
    <t xml:space="preserve">4. Prices are 2026 list prices from public pricing pages (see Sources column and comments). They change; confirm before quoting.</t>
  </si>
  <si>
    <t xml:space="preserve">COLOUR LEGEND</t>
  </si>
  <si>
    <t xml:space="preserve">Blue text = input you may change.   Black text = formula.   Green text = link from another sheet.   Yellow fill = key assumption to agree with the client.</t>
  </si>
  <si>
    <t xml:space="preserve">SHEETS</t>
  </si>
  <si>
    <t xml:space="preserve">Assumptions: volumes, prices, and unit costs.   Rate_Card: roles and rates.   Run_Cost_by_Tier: monthly run cost.   Build_Effort: fees by phase.   Pricing_Options: commercial structures.   TCO_3yr: three-year view.</t>
  </si>
  <si>
    <t xml:space="preserve">IMPORTANT</t>
  </si>
  <si>
    <t xml:space="preserve">Run cost excludes build fees. Build fees exclude cloud and AI usage, which are passed through at cost from the client's own accounts. All figures in USD, excluding VAT.</t>
  </si>
  <si>
    <t xml:space="preserve">Assumptions and unit prices</t>
  </si>
  <si>
    <t xml:space="preserve">Blue = inputs. Tier columns: 0 Pilot, 1 Departmental, 2 Enterprise/Sovereign, 3 Group-scale.</t>
  </si>
  <si>
    <t xml:space="preserve">Volume driver</t>
  </si>
  <si>
    <t xml:space="preserve">Tier 0 Pilot</t>
  </si>
  <si>
    <t xml:space="preserve">Tier 1 Dept</t>
  </si>
  <si>
    <t xml:space="preserve">Tier 2 Enterprise</t>
  </si>
  <si>
    <t xml:space="preserve">Tier 3 Group</t>
  </si>
  <si>
    <t xml:space="preserve">Unit</t>
  </si>
  <si>
    <t xml:space="preserve">Notes / source</t>
  </si>
  <si>
    <t xml:space="preserve">Named users</t>
  </si>
  <si>
    <t xml:space="preserve">users</t>
  </si>
  <si>
    <t xml:space="preserve">Client to confirm in discovery</t>
  </si>
  <si>
    <t xml:space="preserve">Documents in corpus (cumulative)</t>
  </si>
  <si>
    <t xml:space="preserve">docs</t>
  </si>
  <si>
    <t xml:space="preserve">Indicative; pilot limit 5,000 in SOW</t>
  </si>
  <si>
    <t xml:space="preserve">Average pages per document</t>
  </si>
  <si>
    <t xml:space="preserve">pages</t>
  </si>
  <si>
    <t xml:space="preserve">Contracts and reports; spreadsheets counted by sheet</t>
  </si>
  <si>
    <t xml:space="preserve">Tokens per page</t>
  </si>
  <si>
    <t xml:space="preserve">tokens</t>
  </si>
  <si>
    <t xml:space="preserve">Roughly 450 words per page</t>
  </si>
  <si>
    <t xml:space="preserve">Share of pages that are scans needing OCR</t>
  </si>
  <si>
    <t xml:space="preserve">%</t>
  </si>
  <si>
    <t xml:space="preserve">GCC corpora often have many scanned Arabic pages</t>
  </si>
  <si>
    <t xml:space="preserve">New documents per month (share of corpus)</t>
  </si>
  <si>
    <t xml:space="preserve">Ongoing ingestion after initial load</t>
  </si>
  <si>
    <t xml:space="preserve">Questions per user per working day</t>
  </si>
  <si>
    <t xml:space="preserve">questions</t>
  </si>
  <si>
    <t xml:space="preserve">Executives ask fewer, analysts more</t>
  </si>
  <si>
    <t xml:space="preserve">Working days per month</t>
  </si>
  <si>
    <t xml:space="preserve">days</t>
  </si>
  <si>
    <t xml:space="preserve">Input tokens per question (retrieved passages + prompt)</t>
  </si>
  <si>
    <t xml:space="preserve">8-12 passages of 400-600 tokens plus instructions</t>
  </si>
  <si>
    <t xml:space="preserve">Output tokens per question (answer + citations + grounding pass)</t>
  </si>
  <si>
    <t xml:space="preserve">Includes the second grounding pass</t>
  </si>
  <si>
    <t xml:space="preserve">Share of questions answered by Opus 5 (rest Sonnet 5)</t>
  </si>
  <si>
    <t xml:space="preserve">Complex questions and contradiction adjudication</t>
  </si>
  <si>
    <t xml:space="preserve">Extraction tokens per page (claims pass, Sonnet 5)</t>
  </si>
  <si>
    <t xml:space="preserve">Input page tokens + structured output</t>
  </si>
  <si>
    <t xml:space="preserve">Prompt-cache and batch discount on ingestion</t>
  </si>
  <si>
    <t xml:space="preserve">Batch API 50% off; caching on shared prefixes</t>
  </si>
  <si>
    <t xml:space="preserve">Outreach messages per month (CRM)</t>
  </si>
  <si>
    <t xml:space="preserve">messages</t>
  </si>
  <si>
    <t xml:space="preserve">Email mostly; WhatsApp priced separately</t>
  </si>
  <si>
    <t xml:space="preserve">Share of AI-assisted drafts</t>
  </si>
  <si>
    <t xml:space="preserve">Tokens per AI-assisted draft (in + out)</t>
  </si>
  <si>
    <t xml:space="preserve">Sonnet 5</t>
  </si>
  <si>
    <t xml:space="preserve">Deployment pattern (A cloud, B hybrid, C sovereign)</t>
  </si>
  <si>
    <t xml:space="preserve">A</t>
  </si>
  <si>
    <t xml:space="preserve">B</t>
  </si>
  <si>
    <t xml:space="preserve">C</t>
  </si>
  <si>
    <t xml:space="preserve">pattern</t>
  </si>
  <si>
    <t xml:space="preserve">Key lever: C adds GPU cost and removes most API cost</t>
  </si>
  <si>
    <t xml:space="preserve">Share of AI processing routed in-region under pattern B</t>
  </si>
  <si>
    <t xml:space="preserve">Set to 1 for pattern C</t>
  </si>
  <si>
    <t xml:space="preserve">GPU nodes for in-region models (0 if pattern A)</t>
  </si>
  <si>
    <t xml:space="preserve">nodes</t>
  </si>
  <si>
    <t xml:space="preserve">Each node ~ 1x H100-class 80GB; two for HA at tier 2+</t>
  </si>
  <si>
    <t xml:space="preserve">Unit price (2026 list)</t>
  </si>
  <si>
    <t xml:space="preserve">Price</t>
  </si>
  <si>
    <t xml:space="preserve">Source</t>
  </si>
  <si>
    <t xml:space="preserve">Claude Opus 5 input</t>
  </si>
  <si>
    <t xml:space="preserve">USD / M tokens</t>
  </si>
  <si>
    <t xml:space="preserve">Anthropic pricing, 2026 (claude-opus-5)</t>
  </si>
  <si>
    <t xml:space="preserve">Claude Opus 5 output</t>
  </si>
  <si>
    <t xml:space="preserve">Anthropic pricing, 2026</t>
  </si>
  <si>
    <t xml:space="preserve">Claude Sonnet 5 input</t>
  </si>
  <si>
    <t xml:space="preserve">Anthropic pricing, 2026 (claude-sonnet-5)</t>
  </si>
  <si>
    <t xml:space="preserve">Claude Sonnet 5 output</t>
  </si>
  <si>
    <t xml:space="preserve">Voyage voyage-3.5 embeddings</t>
  </si>
  <si>
    <t xml:space="preserve">Voyage AI pricing page, 2026; first 200M tokens free</t>
  </si>
  <si>
    <t xml:space="preserve">Voyage rerank-2.5</t>
  </si>
  <si>
    <t xml:space="preserve">Voyage AI pricing page, 2026; verify current rate</t>
  </si>
  <si>
    <t xml:space="preserve">OCR (Azure AI Document Intelligence, read/layout)</t>
  </si>
  <si>
    <t xml:space="preserve">USD / 1,000 pages</t>
  </si>
  <si>
    <t xml:space="preserve">Azure pricing, UAE North; verify current rate</t>
  </si>
  <si>
    <t xml:space="preserve">Supabase Pro (pilot database, storage, auth)</t>
  </si>
  <si>
    <t xml:space="preserve">USD / month</t>
  </si>
  <si>
    <t xml:space="preserve">supabase.com/pricing, 2026, plus usage</t>
  </si>
  <si>
    <t xml:space="preserve">Vercel Pro (pilot web hosting)</t>
  </si>
  <si>
    <t xml:space="preserve">USD / seat / month</t>
  </si>
  <si>
    <t xml:space="preserve">vercel.com/pricing, 2026</t>
  </si>
  <si>
    <t xml:space="preserve">Managed PostgreSQL in GCC region, tier 1</t>
  </si>
  <si>
    <t xml:space="preserve">AWS RDS / Azure Database, mid-size instance with storage; estimate</t>
  </si>
  <si>
    <t xml:space="preserve">Managed PostgreSQL in GCC region, tier 2 (HA)</t>
  </si>
  <si>
    <t xml:space="preserve">Multi-AZ, larger instance, PITR; estimate</t>
  </si>
  <si>
    <t xml:space="preserve">Managed PostgreSQL in GCC region, tier 3 (HA, read replicas)</t>
  </si>
  <si>
    <t xml:space="preserve">Estimate</t>
  </si>
  <si>
    <t xml:space="preserve">Containers, load balancer, storage, networking, tier 1</t>
  </si>
  <si>
    <t xml:space="preserve">ECS/Fargate or Container Apps; estimate</t>
  </si>
  <si>
    <t xml:space="preserve">Containers, load balancer, storage, networking, tier 2</t>
  </si>
  <si>
    <t xml:space="preserve">Kubernetes or managed containers, HA; estimate</t>
  </si>
  <si>
    <t xml:space="preserve">Containers, load balancer, storage, networking, tier 3</t>
  </si>
  <si>
    <t xml:space="preserve">Multi-tenant, DR region; estimate</t>
  </si>
  <si>
    <t xml:space="preserve">GPU node (H100-class 80GB) in-region, on-demand</t>
  </si>
  <si>
    <t xml:space="preserve">USD / hour</t>
  </si>
  <si>
    <t xml:space="preserve">Hyperscaler GCC region on-demand; reserved pricing 30-50% lower; verify</t>
  </si>
  <si>
    <t xml:space="preserve">Hours per month</t>
  </si>
  <si>
    <t xml:space="preserve">hours</t>
  </si>
  <si>
    <t xml:space="preserve">Observability, security tooling, backups, tier 1</t>
  </si>
  <si>
    <t xml:space="preserve">Langfuse cloud or self-host, Sentry, WAF; estimate</t>
  </si>
  <si>
    <t xml:space="preserve">Observability, security tooling, backups, tier 2</t>
  </si>
  <si>
    <t xml:space="preserve">Plus SIEM export, KMS, pen-test amortised; estimate</t>
  </si>
  <si>
    <t xml:space="preserve">Observability, security tooling, backups, tier 3</t>
  </si>
  <si>
    <t xml:space="preserve">Email sending (Graph/Gmail) per message</t>
  </si>
  <si>
    <t xml:space="preserve">USD</t>
  </si>
  <si>
    <t xml:space="preserve">Included in the client's Microsoft 365 / Google licences</t>
  </si>
  <si>
    <t xml:space="preserve">WhatsApp Business conversation (utility)</t>
  </si>
  <si>
    <t xml:space="preserve">USD / conversation</t>
  </si>
  <si>
    <t xml:space="preserve">Meta per-conversation pricing varies by country; verify</t>
  </si>
  <si>
    <t xml:space="preserve">Share of outreach via WhatsApp</t>
  </si>
  <si>
    <t xml:space="preserve">Assumption</t>
  </si>
  <si>
    <t xml:space="preserve">Rate card and blended rate</t>
  </si>
  <si>
    <t xml:space="preserve">Blue = inputs. Rates are indicative ranges by delivery location; set the yellow blended rate for the quote.</t>
  </si>
  <si>
    <t xml:space="preserve">Role</t>
  </si>
  <si>
    <t xml:space="preserve">Weekly rate (USD)</t>
  </si>
  <si>
    <t xml:space="preserve">Daily rate (USD)</t>
  </si>
  <si>
    <t xml:space="preserve">Hourly rate (USD)</t>
  </si>
  <si>
    <t xml:space="preserve">Guidance</t>
  </si>
  <si>
    <t xml:space="preserve">Engagement lead / solution architect</t>
  </si>
  <si>
    <t xml:space="preserve">Senior; sets architecture and quality gate</t>
  </si>
  <si>
    <t xml:space="preserve">AI engineer (Python)</t>
  </si>
  <si>
    <t xml:space="preserve">Retrieval, extraction, evaluation</t>
  </si>
  <si>
    <t xml:space="preserve">Full-stack engineer (TypeScript)</t>
  </si>
  <si>
    <t xml:space="preserve">Web app, Core API, CRM workflow</t>
  </si>
  <si>
    <t xml:space="preserve">QA and evaluation analyst</t>
  </si>
  <si>
    <t xml:space="preserve">Golden set, tests, acceptance</t>
  </si>
  <si>
    <t xml:space="preserve">Project manager</t>
  </si>
  <si>
    <t xml:space="preserve">Plan, risks, client reporting</t>
  </si>
  <si>
    <t xml:space="preserve">UX designer</t>
  </si>
  <si>
    <t xml:space="preserve">Interface, Arabic layout</t>
  </si>
  <si>
    <t xml:space="preserve">Security and DevOps specialist</t>
  </si>
  <si>
    <t xml:space="preserve">IaC, hardening, pen-test coordination</t>
  </si>
  <si>
    <t xml:space="preserve">Blended weekly rate used for fees (set this)</t>
  </si>
  <si>
    <t xml:space="preserve">Indicative market ranges per person-week (2026): South Asia 1,000-2,000; Eastern Europe 2,500-4,500; GCC-based / UK / US 5,000-9,000. Set rates to match your delivery model.</t>
  </si>
  <si>
    <t xml:space="preserve">Managed service: support tier as share of annual platform fee</t>
  </si>
  <si>
    <t xml:space="preserve">Managed service: annual platform fee as share of build fees (M0-M4)</t>
  </si>
  <si>
    <t xml:space="preserve">Monthly run cost by tier (USD)</t>
  </si>
  <si>
    <t xml:space="preserve">All cells are formulas. Initial ingestion is a one-off shown separately; monthly figures include ongoing ingestion of new documents.</t>
  </si>
  <si>
    <t xml:space="preserve">Line</t>
  </si>
  <si>
    <t xml:space="preserve">How it is calculated</t>
  </si>
  <si>
    <t xml:space="preserve">Corpus pages</t>
  </si>
  <si>
    <t xml:space="preserve">documents x pages per document</t>
  </si>
  <si>
    <t xml:space="preserve">Questions per month</t>
  </si>
  <si>
    <t xml:space="preserve">users x questions per day x working days</t>
  </si>
  <si>
    <t xml:space="preserve">ONE-OFF: initial ingestion, embeddings</t>
  </si>
  <si>
    <t xml:space="preserve">corpus tokens x embedding price (first 200M tokens free, not netted)</t>
  </si>
  <si>
    <t xml:space="preserve">ONE-OFF: initial ingestion, OCR of scanned pages</t>
  </si>
  <si>
    <t xml:space="preserve">scanned pages x OCR price per 1,000</t>
  </si>
  <si>
    <t xml:space="preserve">ONE-OFF: initial ingestion, claims extraction (Sonnet 5, batch)</t>
  </si>
  <si>
    <t xml:space="preserve">pages x extraction tokens x blended Sonnet price x (1 - discount) x share via API</t>
  </si>
  <si>
    <t xml:space="preserve">ONE-OFF: initial ingestion total</t>
  </si>
  <si>
    <t xml:space="preserve">Monthly: ongoing ingestion (share of corpus per month)</t>
  </si>
  <si>
    <t xml:space="preserve">one-off total x monthly new-document share</t>
  </si>
  <si>
    <t xml:space="preserve">Monthly: question answering, Opus 5 share</t>
  </si>
  <si>
    <t xml:space="preserve">questions x Opus share x (in tokens x price + out tokens x price)</t>
  </si>
  <si>
    <t xml:space="preserve">Monthly: question answering, Sonnet 5 share</t>
  </si>
  <si>
    <t xml:space="preserve">as above for Sonnet</t>
  </si>
  <si>
    <t xml:space="preserve">Monthly: re-ranking</t>
  </si>
  <si>
    <t xml:space="preserve">questions x 40 candidates x 500 tokens x rerank price</t>
  </si>
  <si>
    <t xml:space="preserve">Monthly: CRM AI-assisted drafts (Sonnet 5)</t>
  </si>
  <si>
    <t xml:space="preserve">messages x AI share x tokens x blended price</t>
  </si>
  <si>
    <t xml:space="preserve">Monthly: WhatsApp conversations</t>
  </si>
  <si>
    <t xml:space="preserve">messages x WhatsApp share x per-conversation price</t>
  </si>
  <si>
    <t xml:space="preserve">Monthly: AI and messaging subtotal</t>
  </si>
  <si>
    <t xml:space="preserve">Monthly: database and storage</t>
  </si>
  <si>
    <t xml:space="preserve">Supabase Pro at pilot; managed PostgreSQL in region above</t>
  </si>
  <si>
    <t xml:space="preserve">Monthly: application hosting</t>
  </si>
  <si>
    <t xml:space="preserve">Vercel Pro (2 seats) + small container at pilot; containers in region above</t>
  </si>
  <si>
    <t xml:space="preserve">Monthly: in-region GPU nodes (patterns B/C)</t>
  </si>
  <si>
    <t xml:space="preserve">nodes x hourly price x hours; reserved pricing can cut this 30-50%</t>
  </si>
  <si>
    <t xml:space="preserve">Monthly: observability, security tooling, backups</t>
  </si>
  <si>
    <t xml:space="preserve">Sentry/Langfuse free tiers at pilot</t>
  </si>
  <si>
    <t xml:space="preserve">Monthly: infrastructure subtotal</t>
  </si>
  <si>
    <t xml:space="preserve">MONTHLY RUN COST TOTAL</t>
  </si>
  <si>
    <t xml:space="preserve">AI and messaging + infrastructure</t>
  </si>
  <si>
    <t xml:space="preserve">Annual run cost</t>
  </si>
  <si>
    <t xml:space="preserve">Run cost per named user per month</t>
  </si>
  <si>
    <t xml:space="preserve">guards against zero users</t>
  </si>
  <si>
    <t xml:space="preserve">Note: one-off ingestion (row 10) is paid once at load and again only for re-indexing; it is excluded from the monthly total. Pilot totals sit within the USD 150-400 per month range quoted in the deck when the volume drivers are at the Tier 0 defaults.</t>
  </si>
  <si>
    <t xml:space="preserve">Build effort and fees by phase</t>
  </si>
  <si>
    <t xml:space="preserve">Blue = person-weeks per role per phase (inputs). Fees = person-weeks x blended weekly rate from Rate_Card.</t>
  </si>
  <si>
    <t xml:space="preserve">Phase 0 Discovery</t>
  </si>
  <si>
    <t xml:space="preserve">Phase 1 Foundation</t>
  </si>
  <si>
    <t xml:space="preserve">Phase 2 Verification + approval</t>
  </si>
  <si>
    <t xml:space="preserve">Phase 3 Pilot</t>
  </si>
  <si>
    <t xml:space="preserve">Phase 4 Production</t>
  </si>
  <si>
    <t xml:space="preserve">Total weeks</t>
  </si>
  <si>
    <t xml:space="preserve">Fee (USD)</t>
  </si>
  <si>
    <t xml:space="preserve">Second engineer (AI or full-stack)</t>
  </si>
  <si>
    <t xml:space="preserve">Total person-weeks</t>
  </si>
  <si>
    <t xml:space="preserve">Fee per phase (USD)</t>
  </si>
  <si>
    <t xml:space="preserve">Contingency on build (share)</t>
  </si>
  <si>
    <t xml:space="preserve">Total build fees including contingency (M0-M4)</t>
  </si>
  <si>
    <t xml:space="preserve">Calendar duration by phase (weeks)</t>
  </si>
  <si>
    <t xml:space="preserve">Phases overlap; elapsed timeline is 20 weeks</t>
  </si>
  <si>
    <t xml:space="preserve">Average team size (FTE) by phase</t>
  </si>
  <si>
    <t xml:space="preserve">Milestone payment schedule (from Pricing structure in Document 14)</t>
  </si>
  <si>
    <t xml:space="preserve">Milestone</t>
  </si>
  <si>
    <t xml:space="preserve">Basis</t>
  </si>
  <si>
    <t xml:space="preserve">Amount (USD)</t>
  </si>
  <si>
    <t xml:space="preserve">M0 Discovery complete (week 2)</t>
  </si>
  <si>
    <t xml:space="preserve">100% of Phase 0</t>
  </si>
  <si>
    <t xml:space="preserve">On signature of Phases 1-2</t>
  </si>
  <si>
    <t xml:space="preserve">40% of Phases 1-2</t>
  </si>
  <si>
    <t xml:space="preserve">M1 Working structure (week 6)</t>
  </si>
  <si>
    <t xml:space="preserve">30% of Phases 1-2</t>
  </si>
  <si>
    <t xml:space="preserve">M2 Integrated demo (week 9)</t>
  </si>
  <si>
    <t xml:space="preserve">M3 Pilot exit (week 15)</t>
  </si>
  <si>
    <t xml:space="preserve">100% of Phase 3</t>
  </si>
  <si>
    <t xml:space="preserve">M4 Production go-live (week 20)</t>
  </si>
  <si>
    <t xml:space="preserve">100% of Phase 4</t>
  </si>
  <si>
    <t xml:space="preserve">Total (equals build fees incl. contingency)</t>
  </si>
  <si>
    <t xml:space="preserve">Check: difference to build total (should be 0)</t>
  </si>
  <si>
    <t xml:space="preserve">Commercial structures</t>
  </si>
  <si>
    <t xml:space="preserve">Three ways to contract the same scope. Figures link to Build_Effort, Rate_Card and Run_Cost_by_Tier.</t>
  </si>
  <si>
    <t xml:space="preserve">Option A: Fixed price by milestone (recommended)</t>
  </si>
  <si>
    <t xml:space="preserve">Notes</t>
  </si>
  <si>
    <t xml:space="preserve">Build fees, M0-M4, including contingency</t>
  </si>
  <si>
    <t xml:space="preserve">Annual managed service: platform fee</t>
  </si>
  <si>
    <t xml:space="preserve">Share of build fees per year; covers upgrades, model changes, evaluation re-runs, minor enhancements</t>
  </si>
  <si>
    <t xml:space="preserve">Annual managed service: support tier</t>
  </si>
  <si>
    <t xml:space="preserve">Standard 15%, Business 20%, Enterprise 30% of platform fee (set on Rate_Card)</t>
  </si>
  <si>
    <t xml:space="preserve">Annual managed service total (excluding pass-through cloud and AI)</t>
  </si>
  <si>
    <t xml:space="preserve">Pass-through run cost, year 1, at the selected tier (see TCO_3yr)</t>
  </si>
  <si>
    <t xml:space="preserve">Option B: Time and materials with monthly cap</t>
  </si>
  <si>
    <t xml:space="preserve">Blended weekly rate</t>
  </si>
  <si>
    <t xml:space="preserve">Planned person-weeks (from Build_Effort)</t>
  </si>
  <si>
    <t xml:space="preserve">Monthly cap (person-weeks x rate / months)</t>
  </si>
  <si>
    <t xml:space="preserve">Assumes 20 weeks = 5 months; client pays actuals up to the cap</t>
  </si>
  <si>
    <t xml:space="preserve">Expected total at plan (no contingency needed)</t>
  </si>
  <si>
    <t xml:space="preserve">Suitable when scope is expected to evolve during the pilot; risk sits with the client, so the rate is typically 5-10% lower than fixed-price equivalents.</t>
  </si>
  <si>
    <t xml:space="preserve">Option C: Subscription (build amortised into an annual fee)</t>
  </si>
  <si>
    <t xml:space="preserve">Contract term (years)</t>
  </si>
  <si>
    <t xml:space="preserve">Financing uplift on amortised build</t>
  </si>
  <si>
    <t xml:space="preserve">Compensates for deferred payment and cancellation risk</t>
  </si>
  <si>
    <t xml:space="preserve">Annual subscription = build x (1+uplift) / term + managed service</t>
  </si>
  <si>
    <t xml:space="preserve">Lower entry cost for the client; total over the term is higher than Option A. Code ownership can still transfer at end of term or on early buy-out.</t>
  </si>
  <si>
    <t xml:space="preserve">Smaller starting scopes (fixed price)</t>
  </si>
  <si>
    <t xml:space="preserve">Discovery only (Phase 0)</t>
  </si>
  <si>
    <t xml:space="preserve">Discovery + System 1 working structure only</t>
  </si>
  <si>
    <t xml:space="preserve">Platform layer plus assistant; CRM deferred. 55% of Phase 1 effort.</t>
  </si>
  <si>
    <t xml:space="preserve">Discovery + CRM for one category only</t>
  </si>
  <si>
    <t xml:space="preserve">Platform layer plus CRM; assistant deferred. 50% of Phase 1 effort.</t>
  </si>
  <si>
    <t xml:space="preserve">Clickable prototype at week 4 (add-on to Phase 1)</t>
  </si>
  <si>
    <t xml:space="preserve">About 1.5 person-weeks of demo preparation</t>
  </si>
  <si>
    <t xml:space="preserve">Three-year total cost of ownership</t>
  </si>
  <si>
    <t xml:space="preserve">Choose the tier path in the blue cells. Build fees in year 1; managed service and run cost every year; optional Phase 5 scale-out budget.</t>
  </si>
  <si>
    <t xml:space="preserve">Item</t>
  </si>
  <si>
    <t xml:space="preserve">Tier in year</t>
  </si>
  <si>
    <t xml:space="preserve">Year 1</t>
  </si>
  <si>
    <t xml:space="preserve">Year 2</t>
  </si>
  <si>
    <t xml:space="preserve">Year 3</t>
  </si>
  <si>
    <t xml:space="preserve">Tier operated in each year (0-3)</t>
  </si>
  <si>
    <t xml:space="preserve">Typical path: pilot then departmental in year 1, enterprise from year 2</t>
  </si>
  <si>
    <t xml:space="preserve">Build fees (M0-M4)</t>
  </si>
  <si>
    <t xml:space="preserve">Managed service (platform fee + support)</t>
  </si>
  <si>
    <t xml:space="preserve">Half year in year 1 (go-live at week 20)</t>
  </si>
  <si>
    <t xml:space="preserve">Run cost (pass-through cloud and AI) at the year's tier</t>
  </si>
  <si>
    <t xml:space="preserve">INDEX into annual run cost by tier</t>
  </si>
  <si>
    <t xml:space="preserve">One-off initial ingestion at the year's tier (re-index on tier change)</t>
  </si>
  <si>
    <t xml:space="preserve">Phase 5 scale-out budget (connectors, sovereign switch, integrations)</t>
  </si>
  <si>
    <t xml:space="preserve">Person-weeks x blended rate; adjust to roadmap</t>
  </si>
  <si>
    <t xml:space="preserve">TOTAL PER YEAR</t>
  </si>
  <si>
    <t xml:space="preserve">THREE-YEAR TOTAL</t>
  </si>
  <si>
    <t xml:space="preserve">Reading the result: the client sees a single build investment in year 1, a predictable managed-service fee, and run costs that scale with the tier they choose. Build fees do not recur when moving up a tier; only run cost and, if chosen, Phase 5 work change.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</si>
</sst>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\$#,##0.00;&quot;($&quot;#,##0.00\);\-"/>
    <numFmt numFmtId="168" formatCode="\$#,##0;&quot;($&quot;#,##0\);\-"/>
    <numFmt numFmtId="169" formatCode="0.0"/>
    <numFmt numFmtId="170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Arial"/>
      <family val="0"/>
      <charset val="1"/>
    </font>
    <font>
      <i val="true"/>
      <sz val="10"/>
      <color rgb="FF5A627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EF2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D"/>
      </left>
      <right style="thin">
        <color rgb="FFC9CFDD"/>
      </right>
      <top style="thin">
        <color rgb="FFC9CFDD"/>
      </top>
      <bottom style="thin">
        <color rgb="FFC9CF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A"/>
      <rgbColor rgb="FFCCFFFF"/>
      <rgbColor rgb="FF660066"/>
      <rgbColor rgb="FFFF8080"/>
      <rgbColor rgb="FF0066CC"/>
      <rgbColor rgb="FFC9CF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270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23.8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/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30" hidden="false" customHeight="tru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</row>
    <row r="5" customFormat="false" ht="15" hidden="false" customHeight="false" outlineLevel="0" collapsed="false">
      <c r="A5" s="6" t="s">
        <v>22</v>
      </c>
      <c r="B5" s="7" t="n">
        <v>10</v>
      </c>
      <c r="C5" s="7" t="n">
        <v>50</v>
      </c>
      <c r="D5" s="7" t="n">
        <v>300</v>
      </c>
      <c r="E5" s="7" t="n">
        <v>1500</v>
      </c>
      <c r="F5" s="6" t="s">
        <v>23</v>
      </c>
      <c r="G5" s="8" t="s">
        <v>24</v>
      </c>
    </row>
    <row r="6" customFormat="false" ht="15" hidden="false" customHeight="false" outlineLevel="0" collapsed="false">
      <c r="A6" s="6" t="s">
        <v>25</v>
      </c>
      <c r="B6" s="7" t="n">
        <v>2000</v>
      </c>
      <c r="C6" s="7" t="n">
        <v>25000</v>
      </c>
      <c r="D6" s="7" t="n">
        <v>250000</v>
      </c>
      <c r="E6" s="7" t="n">
        <v>1500000</v>
      </c>
      <c r="F6" s="6" t="s">
        <v>26</v>
      </c>
      <c r="G6" s="8" t="s">
        <v>27</v>
      </c>
    </row>
    <row r="7" customFormat="false" ht="15" hidden="false" customHeight="false" outlineLevel="0" collapsed="false">
      <c r="A7" s="6" t="s">
        <v>28</v>
      </c>
      <c r="B7" s="7" t="n">
        <v>20</v>
      </c>
      <c r="C7" s="7" t="n">
        <v>20</v>
      </c>
      <c r="D7" s="7" t="n">
        <v>20</v>
      </c>
      <c r="E7" s="7" t="n">
        <v>20</v>
      </c>
      <c r="F7" s="6" t="s">
        <v>29</v>
      </c>
      <c r="G7" s="8" t="s">
        <v>30</v>
      </c>
    </row>
    <row r="8" customFormat="false" ht="15" hidden="false" customHeight="false" outlineLevel="0" collapsed="false">
      <c r="A8" s="6" t="s">
        <v>31</v>
      </c>
      <c r="B8" s="7" t="n">
        <v>600</v>
      </c>
      <c r="C8" s="7" t="n">
        <v>600</v>
      </c>
      <c r="D8" s="7" t="n">
        <v>600</v>
      </c>
      <c r="E8" s="7" t="n">
        <v>600</v>
      </c>
      <c r="F8" s="6" t="s">
        <v>32</v>
      </c>
      <c r="G8" s="8" t="s">
        <v>33</v>
      </c>
    </row>
    <row r="9" customFormat="false" ht="15" hidden="false" customHeight="false" outlineLevel="0" collapsed="false">
      <c r="A9" s="6" t="s">
        <v>34</v>
      </c>
      <c r="B9" s="9" t="n">
        <v>0.3</v>
      </c>
      <c r="C9" s="9" t="n">
        <v>0.3</v>
      </c>
      <c r="D9" s="9" t="n">
        <v>0.3</v>
      </c>
      <c r="E9" s="9" t="n">
        <v>0.3</v>
      </c>
      <c r="F9" s="6" t="s">
        <v>35</v>
      </c>
      <c r="G9" s="8" t="s">
        <v>36</v>
      </c>
    </row>
    <row r="10" customFormat="false" ht="15" hidden="false" customHeight="false" outlineLevel="0" collapsed="false">
      <c r="A10" s="6" t="s">
        <v>37</v>
      </c>
      <c r="B10" s="9" t="n">
        <v>0.05</v>
      </c>
      <c r="C10" s="9" t="n">
        <v>0.05</v>
      </c>
      <c r="D10" s="9" t="n">
        <v>0.05</v>
      </c>
      <c r="E10" s="9" t="n">
        <v>0.05</v>
      </c>
      <c r="F10" s="6" t="s">
        <v>35</v>
      </c>
      <c r="G10" s="8" t="s">
        <v>38</v>
      </c>
    </row>
    <row r="11" customFormat="false" ht="15" hidden="false" customHeight="false" outlineLevel="0" collapsed="false">
      <c r="A11" s="6" t="s">
        <v>39</v>
      </c>
      <c r="B11" s="7" t="n">
        <v>5</v>
      </c>
      <c r="C11" s="7" t="n">
        <v>5</v>
      </c>
      <c r="D11" s="7" t="n">
        <v>4</v>
      </c>
      <c r="E11" s="7" t="n">
        <v>3</v>
      </c>
      <c r="F11" s="6" t="s">
        <v>40</v>
      </c>
      <c r="G11" s="8" t="s">
        <v>41</v>
      </c>
    </row>
    <row r="12" customFormat="false" ht="15" hidden="false" customHeight="false" outlineLevel="0" collapsed="false">
      <c r="A12" s="6" t="s">
        <v>42</v>
      </c>
      <c r="B12" s="7" t="n">
        <v>22</v>
      </c>
      <c r="C12" s="7" t="n">
        <v>22</v>
      </c>
      <c r="D12" s="7" t="n">
        <v>22</v>
      </c>
      <c r="E12" s="7" t="n">
        <v>22</v>
      </c>
      <c r="F12" s="6" t="s">
        <v>43</v>
      </c>
      <c r="G12" s="8"/>
    </row>
    <row r="13" customFormat="false" ht="15" hidden="false" customHeight="false" outlineLevel="0" collapsed="false">
      <c r="A13" s="6" t="s">
        <v>44</v>
      </c>
      <c r="B13" s="7" t="n">
        <v>12000</v>
      </c>
      <c r="C13" s="7" t="n">
        <v>12000</v>
      </c>
      <c r="D13" s="7" t="n">
        <v>12000</v>
      </c>
      <c r="E13" s="7" t="n">
        <v>12000</v>
      </c>
      <c r="F13" s="6" t="s">
        <v>32</v>
      </c>
      <c r="G13" s="8" t="s">
        <v>45</v>
      </c>
    </row>
    <row r="14" customFormat="false" ht="15" hidden="false" customHeight="false" outlineLevel="0" collapsed="false">
      <c r="A14" s="6" t="s">
        <v>46</v>
      </c>
      <c r="B14" s="7" t="n">
        <v>1500</v>
      </c>
      <c r="C14" s="7" t="n">
        <v>1500</v>
      </c>
      <c r="D14" s="7" t="n">
        <v>1500</v>
      </c>
      <c r="E14" s="7" t="n">
        <v>1500</v>
      </c>
      <c r="F14" s="6" t="s">
        <v>32</v>
      </c>
      <c r="G14" s="8" t="s">
        <v>47</v>
      </c>
    </row>
    <row r="15" customFormat="false" ht="15" hidden="false" customHeight="false" outlineLevel="0" collapsed="false">
      <c r="A15" s="6" t="s">
        <v>48</v>
      </c>
      <c r="B15" s="9" t="n">
        <v>0.4</v>
      </c>
      <c r="C15" s="9" t="n">
        <v>0.4</v>
      </c>
      <c r="D15" s="9" t="n">
        <v>0.4</v>
      </c>
      <c r="E15" s="9" t="n">
        <v>0.4</v>
      </c>
      <c r="F15" s="6" t="s">
        <v>35</v>
      </c>
      <c r="G15" s="8" t="s">
        <v>49</v>
      </c>
    </row>
    <row r="16" customFormat="false" ht="15" hidden="false" customHeight="false" outlineLevel="0" collapsed="false">
      <c r="A16" s="6" t="s">
        <v>50</v>
      </c>
      <c r="B16" s="7" t="n">
        <v>900</v>
      </c>
      <c r="C16" s="7" t="n">
        <v>900</v>
      </c>
      <c r="D16" s="7" t="n">
        <v>900</v>
      </c>
      <c r="E16" s="7" t="n">
        <v>900</v>
      </c>
      <c r="F16" s="6" t="s">
        <v>32</v>
      </c>
      <c r="G16" s="8" t="s">
        <v>51</v>
      </c>
    </row>
    <row r="17" customFormat="false" ht="15" hidden="false" customHeight="false" outlineLevel="0" collapsed="false">
      <c r="A17" s="6" t="s">
        <v>52</v>
      </c>
      <c r="B17" s="9" t="n">
        <v>0.4</v>
      </c>
      <c r="C17" s="9" t="n">
        <v>0.4</v>
      </c>
      <c r="D17" s="9" t="n">
        <v>0.4</v>
      </c>
      <c r="E17" s="9" t="n">
        <v>0.4</v>
      </c>
      <c r="F17" s="6" t="s">
        <v>35</v>
      </c>
      <c r="G17" s="8" t="s">
        <v>53</v>
      </c>
    </row>
    <row r="18" customFormat="false" ht="15" hidden="false" customHeight="false" outlineLevel="0" collapsed="false">
      <c r="A18" s="6" t="s">
        <v>54</v>
      </c>
      <c r="B18" s="7" t="n">
        <v>200</v>
      </c>
      <c r="C18" s="7" t="n">
        <v>1500</v>
      </c>
      <c r="D18" s="7" t="n">
        <v>8000</v>
      </c>
      <c r="E18" s="7" t="n">
        <v>40000</v>
      </c>
      <c r="F18" s="6" t="s">
        <v>55</v>
      </c>
      <c r="G18" s="8" t="s">
        <v>56</v>
      </c>
    </row>
    <row r="19" customFormat="false" ht="15" hidden="false" customHeight="false" outlineLevel="0" collapsed="false">
      <c r="A19" s="6" t="s">
        <v>57</v>
      </c>
      <c r="B19" s="9" t="n">
        <v>0.5</v>
      </c>
      <c r="C19" s="9" t="n">
        <v>0.5</v>
      </c>
      <c r="D19" s="9" t="n">
        <v>0.5</v>
      </c>
      <c r="E19" s="9" t="n">
        <v>0.5</v>
      </c>
      <c r="F19" s="6" t="s">
        <v>35</v>
      </c>
      <c r="G19" s="8"/>
    </row>
    <row r="20" customFormat="false" ht="15" hidden="false" customHeight="false" outlineLevel="0" collapsed="false">
      <c r="A20" s="6" t="s">
        <v>58</v>
      </c>
      <c r="B20" s="7" t="n">
        <v>4000</v>
      </c>
      <c r="C20" s="7" t="n">
        <v>4000</v>
      </c>
      <c r="D20" s="7" t="n">
        <v>4000</v>
      </c>
      <c r="E20" s="7" t="n">
        <v>4000</v>
      </c>
      <c r="F20" s="6" t="s">
        <v>32</v>
      </c>
      <c r="G20" s="8" t="s">
        <v>59</v>
      </c>
    </row>
    <row r="21" customFormat="false" ht="15" hidden="false" customHeight="false" outlineLevel="0" collapsed="false">
      <c r="A21" s="6" t="s">
        <v>60</v>
      </c>
      <c r="B21" s="10" t="s">
        <v>61</v>
      </c>
      <c r="C21" s="10" t="s">
        <v>62</v>
      </c>
      <c r="D21" s="10" t="s">
        <v>63</v>
      </c>
      <c r="E21" s="10" t="s">
        <v>63</v>
      </c>
      <c r="F21" s="6" t="s">
        <v>64</v>
      </c>
      <c r="G21" s="8" t="s">
        <v>65</v>
      </c>
    </row>
    <row r="22" customFormat="false" ht="15" hidden="false" customHeight="false" outlineLevel="0" collapsed="false">
      <c r="A22" s="6" t="s">
        <v>66</v>
      </c>
      <c r="B22" s="9" t="n">
        <v>0</v>
      </c>
      <c r="C22" s="9" t="n">
        <v>0.3</v>
      </c>
      <c r="D22" s="9" t="n">
        <v>1</v>
      </c>
      <c r="E22" s="9" t="n">
        <v>1</v>
      </c>
      <c r="F22" s="6" t="s">
        <v>35</v>
      </c>
      <c r="G22" s="8" t="s">
        <v>67</v>
      </c>
    </row>
    <row r="23" customFormat="false" ht="15" hidden="false" customHeight="false" outlineLevel="0" collapsed="false">
      <c r="A23" s="6" t="s">
        <v>68</v>
      </c>
      <c r="B23" s="11" t="n">
        <v>0</v>
      </c>
      <c r="C23" s="11" t="n">
        <v>1</v>
      </c>
      <c r="D23" s="11" t="n">
        <v>4</v>
      </c>
      <c r="E23" s="11" t="n">
        <v>20</v>
      </c>
      <c r="F23" s="6" t="s">
        <v>69</v>
      </c>
      <c r="G23" s="8" t="s">
        <v>70</v>
      </c>
    </row>
    <row r="25" customFormat="false" ht="30" hidden="false" customHeight="true" outlineLevel="0" collapsed="false">
      <c r="A25" s="5" t="s">
        <v>71</v>
      </c>
      <c r="B25" s="5" t="s">
        <v>72</v>
      </c>
      <c r="C25" s="5"/>
      <c r="D25" s="5"/>
      <c r="E25" s="5"/>
      <c r="F25" s="5" t="s">
        <v>20</v>
      </c>
      <c r="G25" s="5" t="s">
        <v>73</v>
      </c>
    </row>
    <row r="26" customFormat="false" ht="15" hidden="false" customHeight="false" outlineLevel="0" collapsed="false">
      <c r="A26" s="6" t="s">
        <v>74</v>
      </c>
      <c r="B26" s="12" t="n">
        <v>5</v>
      </c>
      <c r="F26" s="6" t="s">
        <v>75</v>
      </c>
      <c r="G26" s="8" t="s">
        <v>76</v>
      </c>
    </row>
    <row r="27" customFormat="false" ht="15" hidden="false" customHeight="false" outlineLevel="0" collapsed="false">
      <c r="A27" s="6" t="s">
        <v>77</v>
      </c>
      <c r="B27" s="12" t="n">
        <v>25</v>
      </c>
      <c r="F27" s="6" t="s">
        <v>75</v>
      </c>
      <c r="G27" s="8" t="s">
        <v>78</v>
      </c>
    </row>
    <row r="28" customFormat="false" ht="15" hidden="false" customHeight="false" outlineLevel="0" collapsed="false">
      <c r="A28" s="6" t="s">
        <v>79</v>
      </c>
      <c r="B28" s="12" t="n">
        <v>2</v>
      </c>
      <c r="F28" s="6" t="s">
        <v>75</v>
      </c>
      <c r="G28" s="8" t="s">
        <v>80</v>
      </c>
    </row>
    <row r="29" customFormat="false" ht="15" hidden="false" customHeight="false" outlineLevel="0" collapsed="false">
      <c r="A29" s="6" t="s">
        <v>81</v>
      </c>
      <c r="B29" s="12" t="n">
        <v>10</v>
      </c>
      <c r="F29" s="6" t="s">
        <v>75</v>
      </c>
      <c r="G29" s="8" t="s">
        <v>78</v>
      </c>
    </row>
    <row r="30" customFormat="false" ht="15" hidden="false" customHeight="false" outlineLevel="0" collapsed="false">
      <c r="A30" s="6" t="s">
        <v>82</v>
      </c>
      <c r="B30" s="12" t="n">
        <v>0.02</v>
      </c>
      <c r="F30" s="6" t="s">
        <v>75</v>
      </c>
      <c r="G30" s="8" t="s">
        <v>83</v>
      </c>
    </row>
    <row r="31" customFormat="false" ht="15" hidden="false" customHeight="false" outlineLevel="0" collapsed="false">
      <c r="A31" s="6" t="s">
        <v>84</v>
      </c>
      <c r="B31" s="12" t="n">
        <v>0.05</v>
      </c>
      <c r="F31" s="6" t="s">
        <v>75</v>
      </c>
      <c r="G31" s="8" t="s">
        <v>85</v>
      </c>
    </row>
    <row r="32" customFormat="false" ht="15" hidden="false" customHeight="false" outlineLevel="0" collapsed="false">
      <c r="A32" s="6" t="s">
        <v>86</v>
      </c>
      <c r="B32" s="12" t="n">
        <v>1.5</v>
      </c>
      <c r="F32" s="6" t="s">
        <v>87</v>
      </c>
      <c r="G32" s="8" t="s">
        <v>88</v>
      </c>
    </row>
    <row r="33" customFormat="false" ht="15" hidden="false" customHeight="false" outlineLevel="0" collapsed="false">
      <c r="A33" s="6" t="s">
        <v>89</v>
      </c>
      <c r="B33" s="12" t="n">
        <v>25</v>
      </c>
      <c r="F33" s="6" t="s">
        <v>90</v>
      </c>
      <c r="G33" s="8" t="s">
        <v>91</v>
      </c>
    </row>
    <row r="34" customFormat="false" ht="15" hidden="false" customHeight="false" outlineLevel="0" collapsed="false">
      <c r="A34" s="6" t="s">
        <v>92</v>
      </c>
      <c r="B34" s="12" t="n">
        <v>20</v>
      </c>
      <c r="F34" s="6" t="s">
        <v>93</v>
      </c>
      <c r="G34" s="8" t="s">
        <v>94</v>
      </c>
    </row>
    <row r="35" customFormat="false" ht="15" hidden="false" customHeight="false" outlineLevel="0" collapsed="false">
      <c r="A35" s="6" t="s">
        <v>95</v>
      </c>
      <c r="B35" s="13" t="n">
        <v>400</v>
      </c>
      <c r="F35" s="6" t="s">
        <v>90</v>
      </c>
      <c r="G35" s="8" t="s">
        <v>96</v>
      </c>
    </row>
    <row r="36" customFormat="false" ht="15" hidden="false" customHeight="false" outlineLevel="0" collapsed="false">
      <c r="A36" s="6" t="s">
        <v>97</v>
      </c>
      <c r="B36" s="13" t="n">
        <v>2500</v>
      </c>
      <c r="F36" s="6" t="s">
        <v>90</v>
      </c>
      <c r="G36" s="8" t="s">
        <v>98</v>
      </c>
    </row>
    <row r="37" customFormat="false" ht="15" hidden="false" customHeight="false" outlineLevel="0" collapsed="false">
      <c r="A37" s="6" t="s">
        <v>99</v>
      </c>
      <c r="B37" s="13" t="n">
        <v>9000</v>
      </c>
      <c r="F37" s="6" t="s">
        <v>90</v>
      </c>
      <c r="G37" s="8" t="s">
        <v>100</v>
      </c>
    </row>
    <row r="38" customFormat="false" ht="15" hidden="false" customHeight="false" outlineLevel="0" collapsed="false">
      <c r="A38" s="6" t="s">
        <v>101</v>
      </c>
      <c r="B38" s="13" t="n">
        <v>600</v>
      </c>
      <c r="F38" s="6" t="s">
        <v>90</v>
      </c>
      <c r="G38" s="8" t="s">
        <v>102</v>
      </c>
    </row>
    <row r="39" customFormat="false" ht="15" hidden="false" customHeight="false" outlineLevel="0" collapsed="false">
      <c r="A39" s="6" t="s">
        <v>103</v>
      </c>
      <c r="B39" s="13" t="n">
        <v>4000</v>
      </c>
      <c r="F39" s="6" t="s">
        <v>90</v>
      </c>
      <c r="G39" s="8" t="s">
        <v>104</v>
      </c>
    </row>
    <row r="40" customFormat="false" ht="15" hidden="false" customHeight="false" outlineLevel="0" collapsed="false">
      <c r="A40" s="6" t="s">
        <v>105</v>
      </c>
      <c r="B40" s="13" t="n">
        <v>18000</v>
      </c>
      <c r="F40" s="6" t="s">
        <v>90</v>
      </c>
      <c r="G40" s="8" t="s">
        <v>106</v>
      </c>
    </row>
    <row r="41" customFormat="false" ht="15" hidden="false" customHeight="false" outlineLevel="0" collapsed="false">
      <c r="A41" s="6" t="s">
        <v>107</v>
      </c>
      <c r="B41" s="12" t="n">
        <v>4.5</v>
      </c>
      <c r="F41" s="6" t="s">
        <v>108</v>
      </c>
      <c r="G41" s="8" t="s">
        <v>109</v>
      </c>
    </row>
    <row r="42" customFormat="false" ht="15" hidden="false" customHeight="false" outlineLevel="0" collapsed="false">
      <c r="A42" s="6" t="s">
        <v>110</v>
      </c>
      <c r="B42" s="13" t="n">
        <v>730</v>
      </c>
      <c r="F42" s="6" t="s">
        <v>111</v>
      </c>
      <c r="G42" s="8"/>
    </row>
    <row r="43" customFormat="false" ht="15" hidden="false" customHeight="false" outlineLevel="0" collapsed="false">
      <c r="A43" s="6" t="s">
        <v>112</v>
      </c>
      <c r="B43" s="13" t="n">
        <v>300</v>
      </c>
      <c r="F43" s="6" t="s">
        <v>90</v>
      </c>
      <c r="G43" s="8" t="s">
        <v>113</v>
      </c>
    </row>
    <row r="44" customFormat="false" ht="15" hidden="false" customHeight="false" outlineLevel="0" collapsed="false">
      <c r="A44" s="6" t="s">
        <v>114</v>
      </c>
      <c r="B44" s="13" t="n">
        <v>2000</v>
      </c>
      <c r="F44" s="6" t="s">
        <v>90</v>
      </c>
      <c r="G44" s="8" t="s">
        <v>115</v>
      </c>
    </row>
    <row r="45" customFormat="false" ht="15" hidden="false" customHeight="false" outlineLevel="0" collapsed="false">
      <c r="A45" s="6" t="s">
        <v>116</v>
      </c>
      <c r="B45" s="13" t="n">
        <v>8000</v>
      </c>
      <c r="F45" s="6" t="s">
        <v>90</v>
      </c>
      <c r="G45" s="8" t="s">
        <v>100</v>
      </c>
    </row>
    <row r="46" customFormat="false" ht="15" hidden="false" customHeight="false" outlineLevel="0" collapsed="false">
      <c r="A46" s="6" t="s">
        <v>117</v>
      </c>
      <c r="B46" s="12" t="n">
        <v>0</v>
      </c>
      <c r="F46" s="6" t="s">
        <v>118</v>
      </c>
      <c r="G46" s="8" t="s">
        <v>119</v>
      </c>
    </row>
    <row r="47" customFormat="false" ht="15" hidden="false" customHeight="false" outlineLevel="0" collapsed="false">
      <c r="A47" s="6" t="s">
        <v>120</v>
      </c>
      <c r="B47" s="12" t="n">
        <v>0.03</v>
      </c>
      <c r="F47" s="6" t="s">
        <v>121</v>
      </c>
      <c r="G47" s="8" t="s">
        <v>122</v>
      </c>
    </row>
    <row r="48" customFormat="false" ht="15" hidden="false" customHeight="false" outlineLevel="0" collapsed="false">
      <c r="A48" s="6" t="s">
        <v>123</v>
      </c>
      <c r="B48" s="9" t="n">
        <v>0.1</v>
      </c>
      <c r="F48" s="6" t="s">
        <v>35</v>
      </c>
      <c r="G48" s="8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30" hidden="false" customHeight="true" outlineLevel="0" collapsed="false">
      <c r="A4" s="5" t="s">
        <v>127</v>
      </c>
      <c r="B4" s="5" t="s">
        <v>128</v>
      </c>
      <c r="C4" s="5" t="s">
        <v>129</v>
      </c>
      <c r="D4" s="5" t="s">
        <v>130</v>
      </c>
      <c r="E4" s="5" t="s">
        <v>131</v>
      </c>
    </row>
    <row r="5" customFormat="false" ht="15" hidden="false" customHeight="false" outlineLevel="0" collapsed="false">
      <c r="A5" s="6" t="s">
        <v>132</v>
      </c>
      <c r="B5" s="13" t="n">
        <v>6000</v>
      </c>
      <c r="C5" s="14" t="n">
        <f aca="false">B5/5</f>
        <v>1200</v>
      </c>
      <c r="D5" s="14" t="n">
        <f aca="false">B5/40</f>
        <v>150</v>
      </c>
      <c r="E5" s="8" t="s">
        <v>133</v>
      </c>
    </row>
    <row r="6" customFormat="false" ht="15" hidden="false" customHeight="false" outlineLevel="0" collapsed="false">
      <c r="A6" s="6" t="s">
        <v>134</v>
      </c>
      <c r="B6" s="13" t="n">
        <v>4500</v>
      </c>
      <c r="C6" s="14" t="n">
        <f aca="false">B6/5</f>
        <v>900</v>
      </c>
      <c r="D6" s="14" t="n">
        <f aca="false">B6/40</f>
        <v>112.5</v>
      </c>
      <c r="E6" s="8" t="s">
        <v>135</v>
      </c>
    </row>
    <row r="7" customFormat="false" ht="15" hidden="false" customHeight="false" outlineLevel="0" collapsed="false">
      <c r="A7" s="6" t="s">
        <v>136</v>
      </c>
      <c r="B7" s="13" t="n">
        <v>4000</v>
      </c>
      <c r="C7" s="14" t="n">
        <f aca="false">B7/5</f>
        <v>800</v>
      </c>
      <c r="D7" s="14" t="n">
        <f aca="false">B7/40</f>
        <v>100</v>
      </c>
      <c r="E7" s="8" t="s">
        <v>137</v>
      </c>
    </row>
    <row r="8" customFormat="false" ht="15" hidden="false" customHeight="false" outlineLevel="0" collapsed="false">
      <c r="A8" s="6" t="s">
        <v>138</v>
      </c>
      <c r="B8" s="13" t="n">
        <v>2500</v>
      </c>
      <c r="C8" s="14" t="n">
        <f aca="false">B8/5</f>
        <v>500</v>
      </c>
      <c r="D8" s="14" t="n">
        <f aca="false">B8/40</f>
        <v>62.5</v>
      </c>
      <c r="E8" s="8" t="s">
        <v>139</v>
      </c>
    </row>
    <row r="9" customFormat="false" ht="15" hidden="false" customHeight="false" outlineLevel="0" collapsed="false">
      <c r="A9" s="6" t="s">
        <v>140</v>
      </c>
      <c r="B9" s="13" t="n">
        <v>3000</v>
      </c>
      <c r="C9" s="14" t="n">
        <f aca="false">B9/5</f>
        <v>600</v>
      </c>
      <c r="D9" s="14" t="n">
        <f aca="false">B9/40</f>
        <v>75</v>
      </c>
      <c r="E9" s="8" t="s">
        <v>141</v>
      </c>
    </row>
    <row r="10" customFormat="false" ht="15" hidden="false" customHeight="false" outlineLevel="0" collapsed="false">
      <c r="A10" s="6" t="s">
        <v>142</v>
      </c>
      <c r="B10" s="13" t="n">
        <v>3000</v>
      </c>
      <c r="C10" s="14" t="n">
        <f aca="false">B10/5</f>
        <v>600</v>
      </c>
      <c r="D10" s="14" t="n">
        <f aca="false">B10/40</f>
        <v>75</v>
      </c>
      <c r="E10" s="8" t="s">
        <v>143</v>
      </c>
    </row>
    <row r="11" customFormat="false" ht="15" hidden="false" customHeight="false" outlineLevel="0" collapsed="false">
      <c r="A11" s="6" t="s">
        <v>144</v>
      </c>
      <c r="B11" s="13" t="n">
        <v>4500</v>
      </c>
      <c r="C11" s="14" t="n">
        <f aca="false">B11/5</f>
        <v>900</v>
      </c>
      <c r="D11" s="14" t="n">
        <f aca="false">B11/40</f>
        <v>112.5</v>
      </c>
      <c r="E11" s="8" t="s">
        <v>145</v>
      </c>
    </row>
    <row r="13" customFormat="false" ht="45" hidden="false" customHeight="true" outlineLevel="0" collapsed="false">
      <c r="A13" s="15" t="s">
        <v>146</v>
      </c>
      <c r="B13" s="16" t="n">
        <f aca="false">AVERAGE(B5:B11)</f>
        <v>3928.57142857143</v>
      </c>
      <c r="E13" s="8" t="s">
        <v>147</v>
      </c>
    </row>
    <row r="14" customFormat="false" ht="15" hidden="false" customHeight="false" outlineLevel="0" collapsed="false">
      <c r="A14" s="15" t="s">
        <v>148</v>
      </c>
      <c r="B14" s="17" t="n">
        <v>0.2</v>
      </c>
    </row>
    <row r="15" customFormat="false" ht="15" hidden="false" customHeight="false" outlineLevel="0" collapsed="false">
      <c r="A15" s="15" t="s">
        <v>149</v>
      </c>
      <c r="B15" s="17" t="n">
        <v>0.18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6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4" customFormat="false" ht="30" hidden="false" customHeight="true" outlineLevel="0" collapsed="false">
      <c r="A4" s="5" t="s">
        <v>152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153</v>
      </c>
    </row>
    <row r="5" customFormat="false" ht="15" hidden="false" customHeight="false" outlineLevel="0" collapsed="false">
      <c r="A5" s="6" t="s">
        <v>154</v>
      </c>
      <c r="B5" s="18" t="n">
        <f aca="false">(Assumptions!B$6*Assumptions!B$7)</f>
        <v>40000</v>
      </c>
      <c r="C5" s="18" t="n">
        <f aca="false">(Assumptions!C$6*Assumptions!C$7)</f>
        <v>500000</v>
      </c>
      <c r="D5" s="18" t="n">
        <f aca="false">(Assumptions!D$6*Assumptions!D$7)</f>
        <v>5000000</v>
      </c>
      <c r="E5" s="18" t="n">
        <f aca="false">(Assumptions!E$6*Assumptions!E$7)</f>
        <v>30000000</v>
      </c>
      <c r="F5" s="8" t="s">
        <v>155</v>
      </c>
    </row>
    <row r="6" customFormat="false" ht="15" hidden="false" customHeight="false" outlineLevel="0" collapsed="false">
      <c r="A6" s="6" t="s">
        <v>156</v>
      </c>
      <c r="B6" s="18" t="n">
        <f aca="false">(Assumptions!B$5*Assumptions!B$11*Assumptions!B$12)</f>
        <v>1100</v>
      </c>
      <c r="C6" s="18" t="n">
        <f aca="false">(Assumptions!C$5*Assumptions!C$11*Assumptions!C$12)</f>
        <v>5500</v>
      </c>
      <c r="D6" s="18" t="n">
        <f aca="false">(Assumptions!D$5*Assumptions!D$11*Assumptions!D$12)</f>
        <v>26400</v>
      </c>
      <c r="E6" s="18" t="n">
        <f aca="false">(Assumptions!E$5*Assumptions!E$11*Assumptions!E$12)</f>
        <v>99000</v>
      </c>
      <c r="F6" s="8" t="s">
        <v>157</v>
      </c>
    </row>
    <row r="7" customFormat="false" ht="15" hidden="false" customHeight="false" outlineLevel="0" collapsed="false">
      <c r="A7" s="6" t="s">
        <v>158</v>
      </c>
      <c r="B7" s="14" t="n">
        <f aca="false">((Assumptions!B$6*Assumptions!B$7)*Assumptions!B$8)/1000000*Assumptions!$B$30</f>
        <v>0.48</v>
      </c>
      <c r="C7" s="14" t="n">
        <f aca="false">((Assumptions!C$6*Assumptions!C$7)*Assumptions!C$8)/1000000*Assumptions!$B$30</f>
        <v>6</v>
      </c>
      <c r="D7" s="14" t="n">
        <f aca="false">((Assumptions!D$6*Assumptions!D$7)*Assumptions!D$8)/1000000*Assumptions!$B$30</f>
        <v>60</v>
      </c>
      <c r="E7" s="14" t="n">
        <f aca="false">((Assumptions!E$6*Assumptions!E$7)*Assumptions!E$8)/1000000*Assumptions!$B$30</f>
        <v>360</v>
      </c>
      <c r="F7" s="8" t="s">
        <v>159</v>
      </c>
    </row>
    <row r="8" customFormat="false" ht="15" hidden="false" customHeight="false" outlineLevel="0" collapsed="false">
      <c r="A8" s="6" t="s">
        <v>160</v>
      </c>
      <c r="B8" s="14" t="n">
        <f aca="false">(Assumptions!B$6*Assumptions!B$7)*Assumptions!B$9/1000*Assumptions!$B$32</f>
        <v>18</v>
      </c>
      <c r="C8" s="14" t="n">
        <f aca="false">(Assumptions!C$6*Assumptions!C$7)*Assumptions!C$9/1000*Assumptions!$B$32</f>
        <v>225</v>
      </c>
      <c r="D8" s="14" t="n">
        <f aca="false">(Assumptions!D$6*Assumptions!D$7)*Assumptions!D$9/1000*Assumptions!$B$32</f>
        <v>2250</v>
      </c>
      <c r="E8" s="14" t="n">
        <f aca="false">(Assumptions!E$6*Assumptions!E$7)*Assumptions!E$9/1000*Assumptions!$B$32</f>
        <v>13500</v>
      </c>
      <c r="F8" s="8" t="s">
        <v>161</v>
      </c>
    </row>
    <row r="9" customFormat="false" ht="23.85" hidden="false" customHeight="false" outlineLevel="0" collapsed="false">
      <c r="A9" s="6" t="s">
        <v>162</v>
      </c>
      <c r="B9" s="14" t="n">
        <f aca="false">(Assumptions!B$6*Assumptions!B$7)*Assumptions!B$16/1000000*(Assumptions!$B$28*0.75+Assumptions!$B$29*0.25)*(1-Assumptions!B$17)*(1-Assumptions!B$22)</f>
        <v>86.4</v>
      </c>
      <c r="C9" s="14" t="n">
        <f aca="false">(Assumptions!C$6*Assumptions!C$7)*Assumptions!C$16/1000000*(Assumptions!$B$28*0.75+Assumptions!$B$29*0.25)*(1-Assumptions!C$17)*(1-Assumptions!C$22)</f>
        <v>756</v>
      </c>
      <c r="D9" s="14" t="n">
        <f aca="false">(Assumptions!D$6*Assumptions!D$7)*Assumptions!D$16/1000000*(Assumptions!$B$28*0.75+Assumptions!$B$29*0.25)*(1-Assumptions!D$17)*(1-Assumptions!D$22)</f>
        <v>0</v>
      </c>
      <c r="E9" s="14" t="n">
        <f aca="false">(Assumptions!E$6*Assumptions!E$7)*Assumptions!E$16/1000000*(Assumptions!$B$28*0.75+Assumptions!$B$29*0.25)*(1-Assumptions!E$17)*(1-Assumptions!E$22)</f>
        <v>0</v>
      </c>
      <c r="F9" s="8" t="s">
        <v>163</v>
      </c>
    </row>
    <row r="10" customFormat="false" ht="15" hidden="false" customHeight="false" outlineLevel="0" collapsed="false">
      <c r="A10" s="19" t="s">
        <v>164</v>
      </c>
      <c r="B10" s="20" t="n">
        <f aca="false">SUM(B7:B9)</f>
        <v>104.88</v>
      </c>
      <c r="C10" s="20" t="n">
        <f aca="false">SUM(C7:C9)</f>
        <v>987</v>
      </c>
      <c r="D10" s="20" t="n">
        <f aca="false">SUM(D7:D9)</f>
        <v>2310</v>
      </c>
      <c r="E10" s="20" t="n">
        <f aca="false">SUM(E7:E9)</f>
        <v>13860</v>
      </c>
      <c r="F10" s="8"/>
    </row>
    <row r="11" customFormat="false" ht="15" hidden="false" customHeight="false" outlineLevel="0" collapsed="false">
      <c r="A11" s="6" t="s">
        <v>165</v>
      </c>
      <c r="B11" s="14" t="n">
        <f aca="false">B10*Assumptions!B$10</f>
        <v>5.244</v>
      </c>
      <c r="C11" s="14" t="n">
        <f aca="false">C10*Assumptions!C$10</f>
        <v>49.35</v>
      </c>
      <c r="D11" s="14" t="n">
        <f aca="false">D10*Assumptions!D$10</f>
        <v>115.5</v>
      </c>
      <c r="E11" s="14" t="n">
        <f aca="false">E10*Assumptions!E$10</f>
        <v>693</v>
      </c>
      <c r="F11" s="8" t="s">
        <v>166</v>
      </c>
    </row>
    <row r="12" customFormat="false" ht="15" hidden="false" customHeight="false" outlineLevel="0" collapsed="false">
      <c r="A12" s="6" t="s">
        <v>167</v>
      </c>
      <c r="B12" s="14" t="n">
        <f aca="false">B6*Assumptions!B$15*(Assumptions!B$13*Assumptions!$B$26+Assumptions!B$14*Assumptions!$B$27)/1000000*(1-Assumptions!B$22)</f>
        <v>42.9</v>
      </c>
      <c r="C12" s="14" t="n">
        <f aca="false">C6*Assumptions!C$15*(Assumptions!C$13*Assumptions!$B$26+Assumptions!C$14*Assumptions!$B$27)/1000000*(1-Assumptions!C$22)</f>
        <v>150.15</v>
      </c>
      <c r="D12" s="14" t="n">
        <f aca="false">D6*Assumptions!D$15*(Assumptions!D$13*Assumptions!$B$26+Assumptions!D$14*Assumptions!$B$27)/1000000*(1-Assumptions!D$22)</f>
        <v>0</v>
      </c>
      <c r="E12" s="14" t="n">
        <f aca="false">E6*Assumptions!E$15*(Assumptions!E$13*Assumptions!$B$26+Assumptions!E$14*Assumptions!$B$27)/1000000*(1-Assumptions!E$22)</f>
        <v>0</v>
      </c>
      <c r="F12" s="8" t="s">
        <v>168</v>
      </c>
    </row>
    <row r="13" customFormat="false" ht="15" hidden="false" customHeight="false" outlineLevel="0" collapsed="false">
      <c r="A13" s="6" t="s">
        <v>169</v>
      </c>
      <c r="B13" s="14" t="n">
        <f aca="false">B6*(1-Assumptions!B$15)*(Assumptions!B$13*Assumptions!$B$28+Assumptions!B$14*Assumptions!$B$29)/1000000*(1-Assumptions!B$22)</f>
        <v>25.74</v>
      </c>
      <c r="C13" s="14" t="n">
        <f aca="false">C6*(1-Assumptions!C$15)*(Assumptions!C$13*Assumptions!$B$28+Assumptions!C$14*Assumptions!$B$29)/1000000*(1-Assumptions!C$22)</f>
        <v>90.09</v>
      </c>
      <c r="D13" s="14" t="n">
        <f aca="false">D6*(1-Assumptions!D$15)*(Assumptions!D$13*Assumptions!$B$28+Assumptions!D$14*Assumptions!$B$29)/1000000*(1-Assumptions!D$22)</f>
        <v>0</v>
      </c>
      <c r="E13" s="14" t="n">
        <f aca="false">E6*(1-Assumptions!E$15)*(Assumptions!E$13*Assumptions!$B$28+Assumptions!E$14*Assumptions!$B$29)/1000000*(1-Assumptions!E$22)</f>
        <v>0</v>
      </c>
      <c r="F13" s="8" t="s">
        <v>170</v>
      </c>
    </row>
    <row r="14" customFormat="false" ht="15" hidden="false" customHeight="false" outlineLevel="0" collapsed="false">
      <c r="A14" s="6" t="s">
        <v>171</v>
      </c>
      <c r="B14" s="14" t="n">
        <f aca="false">B6*40*500/1000000*Assumptions!$B$31</f>
        <v>1.1</v>
      </c>
      <c r="C14" s="14" t="n">
        <f aca="false">C6*40*500/1000000*Assumptions!$B$31</f>
        <v>5.5</v>
      </c>
      <c r="D14" s="14" t="n">
        <f aca="false">D6*40*500/1000000*Assumptions!$B$31</f>
        <v>26.4</v>
      </c>
      <c r="E14" s="14" t="n">
        <f aca="false">E6*40*500/1000000*Assumptions!$B$31</f>
        <v>99</v>
      </c>
      <c r="F14" s="8" t="s">
        <v>172</v>
      </c>
    </row>
    <row r="15" customFormat="false" ht="15" hidden="false" customHeight="false" outlineLevel="0" collapsed="false">
      <c r="A15" s="6" t="s">
        <v>173</v>
      </c>
      <c r="B15" s="14" t="n">
        <f aca="false">Assumptions!B$18*Assumptions!B$19*Assumptions!B$20/1000000*(Assumptions!$B$28*0.6+Assumptions!$B$29*0.4)*(1-Assumptions!B$22)</f>
        <v>2.08</v>
      </c>
      <c r="C15" s="14" t="n">
        <f aca="false">Assumptions!C$18*Assumptions!C$19*Assumptions!C$20/1000000*(Assumptions!$B$28*0.6+Assumptions!$B$29*0.4)*(1-Assumptions!C$22)</f>
        <v>10.92</v>
      </c>
      <c r="D15" s="14" t="n">
        <f aca="false">Assumptions!D$18*Assumptions!D$19*Assumptions!D$20/1000000*(Assumptions!$B$28*0.6+Assumptions!$B$29*0.4)*(1-Assumptions!D$22)</f>
        <v>0</v>
      </c>
      <c r="E15" s="14" t="n">
        <f aca="false">Assumptions!E$18*Assumptions!E$19*Assumptions!E$20/1000000*(Assumptions!$B$28*0.6+Assumptions!$B$29*0.4)*(1-Assumptions!E$22)</f>
        <v>0</v>
      </c>
      <c r="F15" s="8" t="s">
        <v>174</v>
      </c>
    </row>
    <row r="16" customFormat="false" ht="15" hidden="false" customHeight="false" outlineLevel="0" collapsed="false">
      <c r="A16" s="6" t="s">
        <v>175</v>
      </c>
      <c r="B16" s="14" t="n">
        <f aca="false">Assumptions!B$18*Assumptions!$B$48*Assumptions!$B$47</f>
        <v>0.6</v>
      </c>
      <c r="C16" s="14" t="n">
        <f aca="false">Assumptions!C$18*Assumptions!$B$48*Assumptions!$B$47</f>
        <v>4.5</v>
      </c>
      <c r="D16" s="14" t="n">
        <f aca="false">Assumptions!D$18*Assumptions!$B$48*Assumptions!$B$47</f>
        <v>24</v>
      </c>
      <c r="E16" s="14" t="n">
        <f aca="false">Assumptions!E$18*Assumptions!$B$48*Assumptions!$B$47</f>
        <v>120</v>
      </c>
      <c r="F16" s="8" t="s">
        <v>176</v>
      </c>
    </row>
    <row r="17" customFormat="false" ht="15" hidden="false" customHeight="false" outlineLevel="0" collapsed="false">
      <c r="A17" s="19" t="s">
        <v>177</v>
      </c>
      <c r="B17" s="20" t="n">
        <f aca="false">SUM(B11:B16)</f>
        <v>77.664</v>
      </c>
      <c r="C17" s="20" t="n">
        <f aca="false">SUM(C11:C16)</f>
        <v>310.51</v>
      </c>
      <c r="D17" s="20" t="n">
        <f aca="false">SUM(D11:D16)</f>
        <v>165.9</v>
      </c>
      <c r="E17" s="20" t="n">
        <f aca="false">SUM(E11:E16)</f>
        <v>912</v>
      </c>
      <c r="F17" s="8"/>
    </row>
    <row r="18" customFormat="false" ht="15" hidden="false" customHeight="false" outlineLevel="0" collapsed="false">
      <c r="A18" s="6" t="s">
        <v>178</v>
      </c>
      <c r="B18" s="14" t="n">
        <f aca="false">Assumptions!$B$33</f>
        <v>25</v>
      </c>
      <c r="C18" s="14" t="n">
        <f aca="false">Assumptions!$B$35</f>
        <v>400</v>
      </c>
      <c r="D18" s="14" t="n">
        <f aca="false">Assumptions!$B$36</f>
        <v>2500</v>
      </c>
      <c r="E18" s="14" t="n">
        <f aca="false">Assumptions!$B$37</f>
        <v>9000</v>
      </c>
      <c r="F18" s="8" t="s">
        <v>179</v>
      </c>
    </row>
    <row r="19" customFormat="false" ht="15" hidden="false" customHeight="false" outlineLevel="0" collapsed="false">
      <c r="A19" s="6" t="s">
        <v>180</v>
      </c>
      <c r="B19" s="14" t="n">
        <f aca="false">Assumptions!$B$34*2+60</f>
        <v>100</v>
      </c>
      <c r="C19" s="14" t="n">
        <f aca="false">Assumptions!$B$38</f>
        <v>600</v>
      </c>
      <c r="D19" s="14" t="n">
        <f aca="false">Assumptions!$B$39</f>
        <v>4000</v>
      </c>
      <c r="E19" s="14" t="n">
        <f aca="false">Assumptions!$B$40</f>
        <v>18000</v>
      </c>
      <c r="F19" s="8" t="s">
        <v>181</v>
      </c>
    </row>
    <row r="20" customFormat="false" ht="15" hidden="false" customHeight="false" outlineLevel="0" collapsed="false">
      <c r="A20" s="6" t="s">
        <v>182</v>
      </c>
      <c r="B20" s="14" t="n">
        <f aca="false">Assumptions!B$23*Assumptions!$B$41*Assumptions!$B$42</f>
        <v>0</v>
      </c>
      <c r="C20" s="14" t="n">
        <f aca="false">Assumptions!C$23*Assumptions!$B$41*Assumptions!$B$42</f>
        <v>3285</v>
      </c>
      <c r="D20" s="14" t="n">
        <f aca="false">Assumptions!D$23*Assumptions!$B$41*Assumptions!$B$42</f>
        <v>13140</v>
      </c>
      <c r="E20" s="14" t="n">
        <f aca="false">Assumptions!E$23*Assumptions!$B$41*Assumptions!$B$42</f>
        <v>65700</v>
      </c>
      <c r="F20" s="8" t="s">
        <v>183</v>
      </c>
    </row>
    <row r="21" customFormat="false" ht="15" hidden="false" customHeight="false" outlineLevel="0" collapsed="false">
      <c r="A21" s="6" t="s">
        <v>184</v>
      </c>
      <c r="B21" s="14" t="n">
        <f aca="false">40</f>
        <v>40</v>
      </c>
      <c r="C21" s="14" t="n">
        <f aca="false">Assumptions!$B$43</f>
        <v>300</v>
      </c>
      <c r="D21" s="14" t="n">
        <f aca="false">Assumptions!$B$44</f>
        <v>2000</v>
      </c>
      <c r="E21" s="14" t="n">
        <f aca="false">Assumptions!$B$45</f>
        <v>8000</v>
      </c>
      <c r="F21" s="8" t="s">
        <v>185</v>
      </c>
    </row>
    <row r="22" customFormat="false" ht="15" hidden="false" customHeight="false" outlineLevel="0" collapsed="false">
      <c r="A22" s="19" t="s">
        <v>186</v>
      </c>
      <c r="B22" s="20" t="n">
        <f aca="false">SUM(B18:B21)</f>
        <v>165</v>
      </c>
      <c r="C22" s="20" t="n">
        <f aca="false">SUM(C18:C21)</f>
        <v>4585</v>
      </c>
      <c r="D22" s="20" t="n">
        <f aca="false">SUM(D18:D21)</f>
        <v>21640</v>
      </c>
      <c r="E22" s="20" t="n">
        <f aca="false">SUM(E18:E21)</f>
        <v>100700</v>
      </c>
      <c r="F22" s="8"/>
    </row>
    <row r="23" customFormat="false" ht="15" hidden="false" customHeight="false" outlineLevel="0" collapsed="false">
      <c r="A23" s="19" t="s">
        <v>187</v>
      </c>
      <c r="B23" s="20" t="n">
        <f aca="false">B17+B22</f>
        <v>242.664</v>
      </c>
      <c r="C23" s="20" t="n">
        <f aca="false">C17+C22</f>
        <v>4895.51</v>
      </c>
      <c r="D23" s="20" t="n">
        <f aca="false">D17+D22</f>
        <v>21805.9</v>
      </c>
      <c r="E23" s="20" t="n">
        <f aca="false">E17+E22</f>
        <v>101612</v>
      </c>
      <c r="F23" s="8" t="s">
        <v>188</v>
      </c>
    </row>
    <row r="24" customFormat="false" ht="15" hidden="false" customHeight="false" outlineLevel="0" collapsed="false">
      <c r="A24" s="19" t="s">
        <v>189</v>
      </c>
      <c r="B24" s="20" t="n">
        <f aca="false">B23*12</f>
        <v>2911.968</v>
      </c>
      <c r="C24" s="20" t="n">
        <f aca="false">C23*12</f>
        <v>58746.12</v>
      </c>
      <c r="D24" s="20" t="n">
        <f aca="false">D23*12</f>
        <v>261670.8</v>
      </c>
      <c r="E24" s="20" t="n">
        <f aca="false">E23*12</f>
        <v>1219344</v>
      </c>
      <c r="F24" s="8"/>
    </row>
    <row r="25" customFormat="false" ht="15" hidden="false" customHeight="false" outlineLevel="0" collapsed="false">
      <c r="A25" s="6" t="s">
        <v>190</v>
      </c>
      <c r="B25" s="21" t="n">
        <f aca="false">IF(Assumptions!B$5=0,0,B23/Assumptions!B$5)</f>
        <v>24.2664</v>
      </c>
      <c r="C25" s="21" t="n">
        <f aca="false">IF(Assumptions!C$5=0,0,C23/Assumptions!C$5)</f>
        <v>97.9102</v>
      </c>
      <c r="D25" s="21" t="n">
        <f aca="false">IF(Assumptions!D$5=0,0,D23/Assumptions!D$5)</f>
        <v>72.6863333333333</v>
      </c>
      <c r="E25" s="21" t="n">
        <f aca="false">IF(Assumptions!E$5=0,0,E23/Assumptions!E$5)</f>
        <v>67.7413333333333</v>
      </c>
      <c r="F25" s="8" t="s">
        <v>191</v>
      </c>
    </row>
    <row r="27" customFormat="false" ht="39.75" hidden="false" customHeight="true" outlineLevel="0" collapsed="false">
      <c r="A27" s="8" t="s">
        <v>192</v>
      </c>
      <c r="B27" s="8"/>
      <c r="C27" s="8"/>
      <c r="D27" s="8"/>
      <c r="E27" s="8"/>
      <c r="F27" s="8"/>
    </row>
  </sheetData>
  <mergeCells count="1"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2" t="s">
        <v>194</v>
      </c>
    </row>
    <row r="4" customFormat="false" ht="30" hidden="false" customHeight="true" outlineLevel="0" collapsed="false">
      <c r="A4" s="5" t="s">
        <v>127</v>
      </c>
      <c r="B4" s="5" t="s">
        <v>195</v>
      </c>
      <c r="C4" s="5" t="s">
        <v>196</v>
      </c>
      <c r="D4" s="5" t="s">
        <v>197</v>
      </c>
      <c r="E4" s="5" t="s">
        <v>198</v>
      </c>
      <c r="F4" s="5" t="s">
        <v>199</v>
      </c>
      <c r="G4" s="5" t="s">
        <v>200</v>
      </c>
      <c r="H4" s="5" t="s">
        <v>201</v>
      </c>
    </row>
    <row r="5" customFormat="false" ht="15" hidden="false" customHeight="false" outlineLevel="0" collapsed="false">
      <c r="A5" s="6" t="s">
        <v>132</v>
      </c>
      <c r="B5" s="22" t="n">
        <v>1</v>
      </c>
      <c r="C5" s="22" t="n">
        <v>2.5</v>
      </c>
      <c r="D5" s="22" t="n">
        <v>2</v>
      </c>
      <c r="E5" s="22" t="n">
        <v>2.5</v>
      </c>
      <c r="F5" s="22" t="n">
        <v>2</v>
      </c>
      <c r="G5" s="23" t="n">
        <f aca="false">SUM(B5:F5)</f>
        <v>10</v>
      </c>
      <c r="H5" s="14" t="n">
        <f aca="false">G5*Rate_Card!$B$13</f>
        <v>39285.7142857143</v>
      </c>
    </row>
    <row r="6" customFormat="false" ht="15" hidden="false" customHeight="false" outlineLevel="0" collapsed="false">
      <c r="A6" s="6" t="s">
        <v>134</v>
      </c>
      <c r="B6" s="22" t="n">
        <v>1</v>
      </c>
      <c r="C6" s="22" t="n">
        <v>5</v>
      </c>
      <c r="D6" s="22" t="n">
        <v>4</v>
      </c>
      <c r="E6" s="22" t="n">
        <v>6</v>
      </c>
      <c r="F6" s="22" t="n">
        <v>3</v>
      </c>
      <c r="G6" s="23" t="n">
        <f aca="false">SUM(B6:F6)</f>
        <v>19</v>
      </c>
      <c r="H6" s="14" t="n">
        <f aca="false">G6*Rate_Card!$B$13</f>
        <v>74642.8571428571</v>
      </c>
    </row>
    <row r="7" customFormat="false" ht="15" hidden="false" customHeight="false" outlineLevel="0" collapsed="false">
      <c r="A7" s="6" t="s">
        <v>136</v>
      </c>
      <c r="B7" s="22" t="n">
        <v>0.5</v>
      </c>
      <c r="C7" s="22" t="n">
        <v>5</v>
      </c>
      <c r="D7" s="22" t="n">
        <v>4</v>
      </c>
      <c r="E7" s="22" t="n">
        <v>5</v>
      </c>
      <c r="F7" s="22" t="n">
        <v>3</v>
      </c>
      <c r="G7" s="23" t="n">
        <f aca="false">SUM(B7:F7)</f>
        <v>17.5</v>
      </c>
      <c r="H7" s="14" t="n">
        <f aca="false">G7*Rate_Card!$B$13</f>
        <v>68750</v>
      </c>
    </row>
    <row r="8" customFormat="false" ht="15" hidden="false" customHeight="false" outlineLevel="0" collapsed="false">
      <c r="A8" s="6" t="s">
        <v>202</v>
      </c>
      <c r="B8" s="22" t="n">
        <v>0</v>
      </c>
      <c r="C8" s="22" t="n">
        <v>1</v>
      </c>
      <c r="D8" s="22" t="n">
        <v>4</v>
      </c>
      <c r="E8" s="22" t="n">
        <v>4</v>
      </c>
      <c r="F8" s="22" t="n">
        <v>3</v>
      </c>
      <c r="G8" s="23" t="n">
        <f aca="false">SUM(B8:F8)</f>
        <v>12</v>
      </c>
      <c r="H8" s="14" t="n">
        <f aca="false">G8*Rate_Card!$B$13</f>
        <v>47142.8571428571</v>
      </c>
    </row>
    <row r="9" customFormat="false" ht="15" hidden="false" customHeight="false" outlineLevel="0" collapsed="false">
      <c r="A9" s="6" t="s">
        <v>138</v>
      </c>
      <c r="B9" s="22" t="n">
        <v>0.5</v>
      </c>
      <c r="C9" s="22" t="n">
        <v>1.5</v>
      </c>
      <c r="D9" s="22" t="n">
        <v>2</v>
      </c>
      <c r="E9" s="22" t="n">
        <v>3</v>
      </c>
      <c r="F9" s="22" t="n">
        <v>2</v>
      </c>
      <c r="G9" s="23" t="n">
        <f aca="false">SUM(B9:F9)</f>
        <v>9</v>
      </c>
      <c r="H9" s="14" t="n">
        <f aca="false">G9*Rate_Card!$B$13</f>
        <v>35357.1428571429</v>
      </c>
    </row>
    <row r="10" customFormat="false" ht="15" hidden="false" customHeight="false" outlineLevel="0" collapsed="false">
      <c r="A10" s="6" t="s">
        <v>140</v>
      </c>
      <c r="B10" s="22" t="n">
        <v>0.6</v>
      </c>
      <c r="C10" s="22" t="n">
        <v>1.5</v>
      </c>
      <c r="D10" s="22" t="n">
        <v>1.2</v>
      </c>
      <c r="E10" s="22" t="n">
        <v>1.8</v>
      </c>
      <c r="F10" s="22" t="n">
        <v>1.5</v>
      </c>
      <c r="G10" s="23" t="n">
        <f aca="false">SUM(B10:F10)</f>
        <v>6.6</v>
      </c>
      <c r="H10" s="14" t="n">
        <f aca="false">G10*Rate_Card!$B$13</f>
        <v>25928.5714285714</v>
      </c>
    </row>
    <row r="11" customFormat="false" ht="15" hidden="false" customHeight="false" outlineLevel="0" collapsed="false">
      <c r="A11" s="6" t="s">
        <v>142</v>
      </c>
      <c r="B11" s="22" t="n">
        <v>0.4</v>
      </c>
      <c r="C11" s="22" t="n">
        <v>1.2</v>
      </c>
      <c r="D11" s="22" t="n">
        <v>0.6</v>
      </c>
      <c r="E11" s="22" t="n">
        <v>0.4</v>
      </c>
      <c r="F11" s="22" t="n">
        <v>0.2</v>
      </c>
      <c r="G11" s="23" t="n">
        <f aca="false">SUM(B11:F11)</f>
        <v>2.8</v>
      </c>
      <c r="H11" s="14" t="n">
        <f aca="false">G11*Rate_Card!$B$13</f>
        <v>11000</v>
      </c>
    </row>
    <row r="12" customFormat="false" ht="15" hidden="false" customHeight="false" outlineLevel="0" collapsed="false">
      <c r="A12" s="6" t="s">
        <v>144</v>
      </c>
      <c r="B12" s="22" t="n">
        <v>0.4</v>
      </c>
      <c r="C12" s="22" t="n">
        <v>0.8</v>
      </c>
      <c r="D12" s="22" t="n">
        <v>0.6</v>
      </c>
      <c r="E12" s="22" t="n">
        <v>0.8</v>
      </c>
      <c r="F12" s="22" t="n">
        <v>2</v>
      </c>
      <c r="G12" s="23" t="n">
        <f aca="false">SUM(B12:F12)</f>
        <v>4.6</v>
      </c>
      <c r="H12" s="14" t="n">
        <f aca="false">G12*Rate_Card!$B$13</f>
        <v>18071.4285714286</v>
      </c>
    </row>
    <row r="13" customFormat="false" ht="15" hidden="false" customHeight="false" outlineLevel="0" collapsed="false">
      <c r="A13" s="19" t="s">
        <v>203</v>
      </c>
      <c r="B13" s="24" t="n">
        <f aca="false">SUM(B5:B12)</f>
        <v>4.4</v>
      </c>
      <c r="C13" s="24" t="n">
        <f aca="false">SUM(C5:C12)</f>
        <v>18.5</v>
      </c>
      <c r="D13" s="24" t="n">
        <f aca="false">SUM(D5:D12)</f>
        <v>18.4</v>
      </c>
      <c r="E13" s="24" t="n">
        <f aca="false">SUM(E5:E12)</f>
        <v>23.5</v>
      </c>
      <c r="F13" s="24" t="n">
        <f aca="false">SUM(F5:F12)</f>
        <v>16.7</v>
      </c>
      <c r="G13" s="24" t="n">
        <f aca="false">SUM(G5:G12)</f>
        <v>81.5</v>
      </c>
      <c r="H13" s="20" t="n">
        <f aca="false">SUM(H5:H12)</f>
        <v>320178.571428571</v>
      </c>
    </row>
    <row r="14" customFormat="false" ht="15" hidden="false" customHeight="false" outlineLevel="0" collapsed="false">
      <c r="A14" s="19" t="s">
        <v>204</v>
      </c>
      <c r="B14" s="20" t="n">
        <f aca="false">B13*Rate_Card!$B$13</f>
        <v>17285.7142857143</v>
      </c>
      <c r="C14" s="20" t="n">
        <f aca="false">C13*Rate_Card!$B$13</f>
        <v>72678.5714285714</v>
      </c>
      <c r="D14" s="20" t="n">
        <f aca="false">D13*Rate_Card!$B$13</f>
        <v>72285.7142857143</v>
      </c>
      <c r="E14" s="20" t="n">
        <f aca="false">E13*Rate_Card!$B$13</f>
        <v>92321.4285714286</v>
      </c>
      <c r="F14" s="20" t="n">
        <f aca="false">F13*Rate_Card!$B$13</f>
        <v>65607.1428571429</v>
      </c>
      <c r="G14" s="25"/>
      <c r="H14" s="20" t="n">
        <f aca="false">SUM(B14:F14)</f>
        <v>320178.571428571</v>
      </c>
    </row>
    <row r="15" customFormat="false" ht="15" hidden="false" customHeight="false" outlineLevel="0" collapsed="false">
      <c r="A15" s="15" t="s">
        <v>205</v>
      </c>
      <c r="B15" s="17" t="n">
        <v>0.1</v>
      </c>
    </row>
    <row r="16" customFormat="false" ht="15" hidden="false" customHeight="false" outlineLevel="0" collapsed="false">
      <c r="A16" s="19" t="s">
        <v>206</v>
      </c>
      <c r="H16" s="20" t="n">
        <f aca="false">H14*(1+B15)</f>
        <v>352196.428571429</v>
      </c>
    </row>
    <row r="18" customFormat="false" ht="35.05" hidden="false" customHeight="false" outlineLevel="0" collapsed="false">
      <c r="A18" s="15" t="s">
        <v>207</v>
      </c>
      <c r="B18" s="26" t="n">
        <v>2</v>
      </c>
      <c r="C18" s="26" t="n">
        <v>5</v>
      </c>
      <c r="D18" s="26" t="n">
        <v>4</v>
      </c>
      <c r="E18" s="26" t="n">
        <v>6</v>
      </c>
      <c r="F18" s="26" t="n">
        <v>5</v>
      </c>
      <c r="G18" s="27" t="n">
        <f aca="false">SUM(B18:F18)</f>
        <v>22</v>
      </c>
      <c r="H18" s="8" t="s">
        <v>208</v>
      </c>
    </row>
    <row r="19" customFormat="false" ht="15" hidden="false" customHeight="false" outlineLevel="0" collapsed="false">
      <c r="A19" s="15" t="s">
        <v>209</v>
      </c>
      <c r="B19" s="23" t="n">
        <f aca="false">IF(B18=0,0,B13/B18)</f>
        <v>2.2</v>
      </c>
      <c r="C19" s="23" t="n">
        <f aca="false">IF(C18=0,0,C13/C18)</f>
        <v>3.7</v>
      </c>
      <c r="D19" s="23" t="n">
        <f aca="false">IF(D18=0,0,D13/D18)</f>
        <v>4.6</v>
      </c>
      <c r="E19" s="23" t="n">
        <f aca="false">IF(E18=0,0,E13/E18)</f>
        <v>3.91666666666667</v>
      </c>
      <c r="F19" s="23" t="n">
        <f aca="false">IF(F18=0,0,F13/F18)</f>
        <v>3.34</v>
      </c>
    </row>
    <row r="21" customFormat="false" ht="15" hidden="false" customHeight="false" outlineLevel="0" collapsed="false">
      <c r="A21" s="15" t="s">
        <v>210</v>
      </c>
    </row>
    <row r="22" customFormat="false" ht="30" hidden="false" customHeight="true" outlineLevel="0" collapsed="false">
      <c r="A22" s="5" t="s">
        <v>211</v>
      </c>
      <c r="B22" s="5" t="s">
        <v>212</v>
      </c>
      <c r="C22" s="5"/>
      <c r="D22" s="5"/>
      <c r="E22" s="5"/>
      <c r="F22" s="5"/>
      <c r="G22" s="5"/>
      <c r="H22" s="5" t="s">
        <v>213</v>
      </c>
    </row>
    <row r="23" customFormat="false" ht="15" hidden="false" customHeight="false" outlineLevel="0" collapsed="false">
      <c r="A23" s="6" t="s">
        <v>214</v>
      </c>
      <c r="B23" s="6" t="s">
        <v>215</v>
      </c>
      <c r="C23" s="6"/>
      <c r="D23" s="6"/>
      <c r="E23" s="6"/>
      <c r="F23" s="6"/>
      <c r="G23" s="6"/>
      <c r="H23" s="14" t="n">
        <f aca="false">Build_Effort!$B$14*(1+Build_Effort!$B$15)</f>
        <v>19014.2857142857</v>
      </c>
    </row>
    <row r="24" customFormat="false" ht="15" hidden="false" customHeight="false" outlineLevel="0" collapsed="false">
      <c r="A24" s="6" t="s">
        <v>216</v>
      </c>
      <c r="B24" s="6" t="s">
        <v>217</v>
      </c>
      <c r="C24" s="6"/>
      <c r="D24" s="6"/>
      <c r="E24" s="6"/>
      <c r="F24" s="6"/>
      <c r="G24" s="6"/>
      <c r="H24" s="14" t="n">
        <f aca="false">0.4*(Build_Effort!$C$14*(1+Build_Effort!$B$15)+Build_Effort!$D$14*(1+Build_Effort!$B$15))</f>
        <v>63784.2857142857</v>
      </c>
    </row>
    <row r="25" customFormat="false" ht="15" hidden="false" customHeight="false" outlineLevel="0" collapsed="false">
      <c r="A25" s="6" t="s">
        <v>218</v>
      </c>
      <c r="B25" s="6" t="s">
        <v>219</v>
      </c>
      <c r="C25" s="6"/>
      <c r="D25" s="6"/>
      <c r="E25" s="6"/>
      <c r="F25" s="6"/>
      <c r="G25" s="6"/>
      <c r="H25" s="14" t="n">
        <f aca="false">0.3*(Build_Effort!$C$14*(1+Build_Effort!$B$15)+Build_Effort!$D$14*(1+Build_Effort!$B$15))</f>
        <v>47838.2142857143</v>
      </c>
    </row>
    <row r="26" customFormat="false" ht="15" hidden="false" customHeight="false" outlineLevel="0" collapsed="false">
      <c r="A26" s="6" t="s">
        <v>220</v>
      </c>
      <c r="B26" s="6" t="s">
        <v>219</v>
      </c>
      <c r="C26" s="6"/>
      <c r="D26" s="6"/>
      <c r="E26" s="6"/>
      <c r="F26" s="6"/>
      <c r="G26" s="6"/>
      <c r="H26" s="14" t="n">
        <f aca="false">0.3*(Build_Effort!$C$14*(1+Build_Effort!$B$15)+Build_Effort!$D$14*(1+Build_Effort!$B$15))</f>
        <v>47838.2142857143</v>
      </c>
    </row>
    <row r="27" customFormat="false" ht="15" hidden="false" customHeight="false" outlineLevel="0" collapsed="false">
      <c r="A27" s="6" t="s">
        <v>221</v>
      </c>
      <c r="B27" s="6" t="s">
        <v>222</v>
      </c>
      <c r="C27" s="6"/>
      <c r="D27" s="6"/>
      <c r="E27" s="6"/>
      <c r="F27" s="6"/>
      <c r="G27" s="6"/>
      <c r="H27" s="14" t="n">
        <f aca="false">Build_Effort!$E$14*(1+Build_Effort!$B$15)</f>
        <v>101553.571428571</v>
      </c>
    </row>
    <row r="28" customFormat="false" ht="15" hidden="false" customHeight="false" outlineLevel="0" collapsed="false">
      <c r="A28" s="6" t="s">
        <v>223</v>
      </c>
      <c r="B28" s="6" t="s">
        <v>224</v>
      </c>
      <c r="C28" s="6"/>
      <c r="D28" s="6"/>
      <c r="E28" s="6"/>
      <c r="F28" s="6"/>
      <c r="G28" s="6"/>
      <c r="H28" s="14" t="n">
        <f aca="false">Build_Effort!$F$14*(1+Build_Effort!$B$15)</f>
        <v>72167.8571428571</v>
      </c>
    </row>
    <row r="29" customFormat="false" ht="15" hidden="false" customHeight="false" outlineLevel="0" collapsed="false">
      <c r="A29" s="19" t="s">
        <v>225</v>
      </c>
      <c r="H29" s="20" t="n">
        <f aca="false">SUM(H23:H28)</f>
        <v>352196.428571429</v>
      </c>
    </row>
    <row r="30" customFormat="false" ht="15" hidden="false" customHeight="false" outlineLevel="0" collapsed="false">
      <c r="A30" s="6" t="s">
        <v>226</v>
      </c>
      <c r="H30" s="14" t="n">
        <f aca="false">ROUND(H29-Build_Effort!$H$16,2)</f>
        <v>0</v>
      </c>
    </row>
  </sheetData>
  <mergeCells count="6">
    <mergeCell ref="B23:G23"/>
    <mergeCell ref="B24:G24"/>
    <mergeCell ref="B25:G25"/>
    <mergeCell ref="B26:G26"/>
    <mergeCell ref="B27:G27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227</v>
      </c>
    </row>
    <row r="2" customFormat="false" ht="15" hidden="false" customHeight="false" outlineLevel="0" collapsed="false">
      <c r="A2" s="2" t="s">
        <v>228</v>
      </c>
    </row>
    <row r="4" customFormat="false" ht="30" hidden="false" customHeight="true" outlineLevel="0" collapsed="false">
      <c r="A4" s="5" t="s">
        <v>229</v>
      </c>
      <c r="B4" s="5" t="s">
        <v>118</v>
      </c>
      <c r="C4" s="5"/>
      <c r="D4" s="5"/>
      <c r="E4" s="5" t="s">
        <v>230</v>
      </c>
    </row>
    <row r="5" customFormat="false" ht="15" hidden="false" customHeight="false" outlineLevel="0" collapsed="false">
      <c r="A5" s="6" t="s">
        <v>231</v>
      </c>
      <c r="B5" s="28" t="n">
        <f aca="false">Build_Effort!$H$16</f>
        <v>352196.428571429</v>
      </c>
    </row>
    <row r="6" customFormat="false" ht="23.85" hidden="false" customHeight="false" outlineLevel="0" collapsed="false">
      <c r="A6" s="6" t="s">
        <v>232</v>
      </c>
      <c r="B6" s="14" t="n">
        <f aca="false">B5*Rate_Card!$B$15</f>
        <v>63395.3571428571</v>
      </c>
      <c r="E6" s="8" t="s">
        <v>233</v>
      </c>
    </row>
    <row r="7" customFormat="false" ht="23.85" hidden="false" customHeight="false" outlineLevel="0" collapsed="false">
      <c r="A7" s="6" t="s">
        <v>234</v>
      </c>
      <c r="B7" s="14" t="n">
        <f aca="false">B6*Rate_Card!$B$14</f>
        <v>12679.0714285714</v>
      </c>
      <c r="E7" s="8" t="s">
        <v>235</v>
      </c>
    </row>
    <row r="8" customFormat="false" ht="15" hidden="false" customHeight="false" outlineLevel="0" collapsed="false">
      <c r="A8" s="19" t="s">
        <v>236</v>
      </c>
      <c r="B8" s="20" t="n">
        <f aca="false">B6+B7</f>
        <v>76074.4285714286</v>
      </c>
    </row>
    <row r="9" customFormat="false" ht="15" hidden="false" customHeight="false" outlineLevel="0" collapsed="false">
      <c r="A9" s="6" t="s">
        <v>237</v>
      </c>
      <c r="B9" s="28" t="n">
        <f aca="false">TCO_3yr!C8</f>
        <v>58746.12</v>
      </c>
    </row>
    <row r="11" customFormat="false" ht="30" hidden="false" customHeight="true" outlineLevel="0" collapsed="false">
      <c r="A11" s="5" t="s">
        <v>238</v>
      </c>
      <c r="B11" s="5" t="s">
        <v>118</v>
      </c>
      <c r="C11" s="5"/>
      <c r="D11" s="5"/>
      <c r="E11" s="5" t="s">
        <v>230</v>
      </c>
    </row>
    <row r="12" customFormat="false" ht="15" hidden="false" customHeight="false" outlineLevel="0" collapsed="false">
      <c r="A12" s="6" t="s">
        <v>239</v>
      </c>
      <c r="B12" s="28" t="n">
        <f aca="false">Rate_Card!$B$13</f>
        <v>3928.57142857143</v>
      </c>
    </row>
    <row r="13" customFormat="false" ht="15" hidden="false" customHeight="false" outlineLevel="0" collapsed="false">
      <c r="A13" s="6" t="s">
        <v>240</v>
      </c>
      <c r="B13" s="29" t="n">
        <f aca="false">Build_Effort!G13</f>
        <v>81.5</v>
      </c>
    </row>
    <row r="14" customFormat="false" ht="15" hidden="false" customHeight="false" outlineLevel="0" collapsed="false">
      <c r="A14" s="6" t="s">
        <v>241</v>
      </c>
      <c r="B14" s="14" t="n">
        <f aca="false">B12*B13/5</f>
        <v>64035.7142857143</v>
      </c>
      <c r="E14" s="8" t="s">
        <v>242</v>
      </c>
    </row>
    <row r="15" customFormat="false" ht="15" hidden="false" customHeight="false" outlineLevel="0" collapsed="false">
      <c r="A15" s="6" t="s">
        <v>243</v>
      </c>
      <c r="B15" s="14" t="n">
        <f aca="false">B12*B13</f>
        <v>320178.571428571</v>
      </c>
    </row>
    <row r="16" customFormat="false" ht="31.5" hidden="false" customHeight="true" outlineLevel="0" collapsed="false">
      <c r="A16" s="8" t="s">
        <v>244</v>
      </c>
      <c r="B16" s="8"/>
      <c r="C16" s="8"/>
      <c r="D16" s="8"/>
      <c r="E16" s="8"/>
    </row>
    <row r="18" customFormat="false" ht="30" hidden="false" customHeight="true" outlineLevel="0" collapsed="false">
      <c r="A18" s="5" t="s">
        <v>245</v>
      </c>
      <c r="B18" s="5" t="s">
        <v>118</v>
      </c>
      <c r="C18" s="5"/>
      <c r="D18" s="5"/>
      <c r="E18" s="5" t="s">
        <v>230</v>
      </c>
    </row>
    <row r="19" customFormat="false" ht="15" hidden="false" customHeight="false" outlineLevel="0" collapsed="false">
      <c r="A19" s="6" t="s">
        <v>246</v>
      </c>
      <c r="B19" s="26" t="n">
        <v>3</v>
      </c>
    </row>
    <row r="20" customFormat="false" ht="15" hidden="false" customHeight="false" outlineLevel="0" collapsed="false">
      <c r="A20" s="6" t="s">
        <v>247</v>
      </c>
      <c r="B20" s="9" t="n">
        <v>0.12</v>
      </c>
      <c r="E20" s="8" t="s">
        <v>248</v>
      </c>
    </row>
    <row r="21" customFormat="false" ht="15" hidden="false" customHeight="false" outlineLevel="0" collapsed="false">
      <c r="A21" s="19" t="s">
        <v>249</v>
      </c>
      <c r="B21" s="20" t="n">
        <f aca="false">B5*(1+B20)/B19+B8</f>
        <v>207561.095238095</v>
      </c>
    </row>
    <row r="22" customFormat="false" ht="31.5" hidden="false" customHeight="true" outlineLevel="0" collapsed="false">
      <c r="A22" s="8" t="s">
        <v>250</v>
      </c>
      <c r="B22" s="8"/>
      <c r="C22" s="8"/>
      <c r="D22" s="8"/>
      <c r="E22" s="8"/>
    </row>
    <row r="24" customFormat="false" ht="30" hidden="false" customHeight="true" outlineLevel="0" collapsed="false">
      <c r="A24" s="5" t="s">
        <v>251</v>
      </c>
      <c r="B24" s="5" t="s">
        <v>118</v>
      </c>
      <c r="C24" s="5"/>
      <c r="D24" s="5"/>
      <c r="E24" s="5" t="s">
        <v>230</v>
      </c>
    </row>
    <row r="25" customFormat="false" ht="15" hidden="false" customHeight="false" outlineLevel="0" collapsed="false">
      <c r="A25" s="6" t="s">
        <v>252</v>
      </c>
      <c r="B25" s="14" t="n">
        <f aca="false">Build_Effort!$B$14*(1+Build_Effort!$B$15)</f>
        <v>19014.2857142857</v>
      </c>
    </row>
    <row r="26" customFormat="false" ht="15" hidden="false" customHeight="false" outlineLevel="0" collapsed="false">
      <c r="A26" s="6" t="s">
        <v>253</v>
      </c>
      <c r="B26" s="14" t="n">
        <f aca="false">Build_Effort!$B$14*(1+Build_Effort!$B$15)+0.55*Build_Effort!$C$14*(1+Build_Effort!$B$15)</f>
        <v>62984.8214285714</v>
      </c>
      <c r="E26" s="8" t="s">
        <v>254</v>
      </c>
    </row>
    <row r="27" customFormat="false" ht="15" hidden="false" customHeight="false" outlineLevel="0" collapsed="false">
      <c r="A27" s="6" t="s">
        <v>255</v>
      </c>
      <c r="B27" s="14" t="n">
        <f aca="false">Build_Effort!$B$14*(1+Build_Effort!$B$15)+0.5*Build_Effort!$C$14*(1+Build_Effort!$B$15)</f>
        <v>58987.5</v>
      </c>
      <c r="E27" s="8" t="s">
        <v>256</v>
      </c>
    </row>
    <row r="28" customFormat="false" ht="15" hidden="false" customHeight="false" outlineLevel="0" collapsed="false">
      <c r="A28" s="6" t="s">
        <v>257</v>
      </c>
      <c r="B28" s="14" t="n">
        <f aca="false">1.5*Rate_Card!$B$13</f>
        <v>5892.85714285714</v>
      </c>
      <c r="E28" s="8" t="s">
        <v>258</v>
      </c>
    </row>
  </sheetData>
  <mergeCells count="2">
    <mergeCell ref="A16:E16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259</v>
      </c>
    </row>
    <row r="2" customFormat="false" ht="15" hidden="false" customHeight="false" outlineLevel="0" collapsed="false">
      <c r="A2" s="2" t="s">
        <v>260</v>
      </c>
    </row>
    <row r="4" customFormat="false" ht="30" hidden="false" customHeight="true" outlineLevel="0" collapsed="false">
      <c r="A4" s="5" t="s">
        <v>261</v>
      </c>
      <c r="B4" s="5" t="s">
        <v>262</v>
      </c>
      <c r="C4" s="5" t="s">
        <v>263</v>
      </c>
      <c r="D4" s="5" t="s">
        <v>264</v>
      </c>
      <c r="E4" s="5" t="s">
        <v>265</v>
      </c>
      <c r="F4" s="5" t="s">
        <v>230</v>
      </c>
    </row>
    <row r="5" customFormat="false" ht="23.85" hidden="false" customHeight="false" outlineLevel="0" collapsed="false">
      <c r="A5" s="6" t="s">
        <v>266</v>
      </c>
      <c r="B5" s="6"/>
      <c r="C5" s="30" t="n">
        <v>1</v>
      </c>
      <c r="D5" s="30" t="n">
        <v>2</v>
      </c>
      <c r="E5" s="30" t="n">
        <v>2</v>
      </c>
      <c r="F5" s="8" t="s">
        <v>267</v>
      </c>
    </row>
    <row r="6" customFormat="false" ht="15" hidden="false" customHeight="false" outlineLevel="0" collapsed="false">
      <c r="A6" s="6" t="s">
        <v>268</v>
      </c>
      <c r="C6" s="28" t="n">
        <f aca="false">Build_Effort!$H$16</f>
        <v>352196.428571429</v>
      </c>
      <c r="D6" s="14" t="n">
        <v>0</v>
      </c>
      <c r="E6" s="14" t="n">
        <v>0</v>
      </c>
    </row>
    <row r="7" customFormat="false" ht="15" hidden="false" customHeight="false" outlineLevel="0" collapsed="false">
      <c r="A7" s="6" t="s">
        <v>269</v>
      </c>
      <c r="C7" s="28" t="n">
        <f aca="false">Pricing_Options!B8*0.5</f>
        <v>38037.2142857143</v>
      </c>
      <c r="D7" s="28" t="n">
        <f aca="false">Pricing_Options!B8</f>
        <v>76074.4285714286</v>
      </c>
      <c r="E7" s="28" t="n">
        <f aca="false">Pricing_Options!B8</f>
        <v>76074.4285714286</v>
      </c>
      <c r="F7" s="8" t="s">
        <v>270</v>
      </c>
    </row>
    <row r="8" customFormat="false" ht="15" hidden="false" customHeight="false" outlineLevel="0" collapsed="false">
      <c r="A8" s="6" t="s">
        <v>271</v>
      </c>
      <c r="C8" s="14" t="n">
        <f aca="false">INDEX(Run_Cost_by_Tier!$B$24:$E$24,1,C5+1)</f>
        <v>58746.12</v>
      </c>
      <c r="D8" s="14" t="n">
        <f aca="false">INDEX(Run_Cost_by_Tier!$B$24:$E$24,1,D5+1)</f>
        <v>261670.8</v>
      </c>
      <c r="E8" s="14" t="n">
        <f aca="false">INDEX(Run_Cost_by_Tier!$B$24:$E$24,1,E5+1)</f>
        <v>261670.8</v>
      </c>
      <c r="F8" s="8" t="s">
        <v>272</v>
      </c>
    </row>
    <row r="9" customFormat="false" ht="15" hidden="false" customHeight="false" outlineLevel="0" collapsed="false">
      <c r="A9" s="6" t="s">
        <v>273</v>
      </c>
      <c r="C9" s="14" t="n">
        <f aca="false">INDEX(Run_Cost_by_Tier!$B$10:$E$10,1,C5+1)</f>
        <v>987</v>
      </c>
      <c r="D9" s="14" t="n">
        <f aca="false">IF(D5&lt;&gt;C5,INDEX(Run_Cost_by_Tier!$B$10:$E$10,1,D5+1),0)</f>
        <v>2310</v>
      </c>
      <c r="E9" s="14" t="n">
        <f aca="false">IF(E5&lt;&gt;D5,INDEX(Run_Cost_by_Tier!$B$10:$E$10,1,E5+1),0)</f>
        <v>0</v>
      </c>
    </row>
    <row r="10" customFormat="false" ht="15" hidden="false" customHeight="false" outlineLevel="0" collapsed="false">
      <c r="A10" s="6" t="s">
        <v>274</v>
      </c>
      <c r="C10" s="13" t="n">
        <v>0</v>
      </c>
      <c r="D10" s="13" t="n">
        <f aca="false">8*Rate_Card!$B$13</f>
        <v>31428.5714285714</v>
      </c>
      <c r="E10" s="13" t="n">
        <f aca="false">6*Rate_Card!$B$13</f>
        <v>23571.4285714286</v>
      </c>
      <c r="F10" s="8" t="s">
        <v>275</v>
      </c>
    </row>
    <row r="11" customFormat="false" ht="15" hidden="false" customHeight="false" outlineLevel="0" collapsed="false">
      <c r="A11" s="19" t="s">
        <v>276</v>
      </c>
      <c r="C11" s="20" t="n">
        <f aca="false">SUM(C6:C10)</f>
        <v>449966.762857143</v>
      </c>
      <c r="D11" s="20" t="n">
        <f aca="false">SUM(D6:D10)</f>
        <v>371483.8</v>
      </c>
      <c r="E11" s="20" t="n">
        <f aca="false">SUM(E6:E10)</f>
        <v>361316.657142857</v>
      </c>
    </row>
    <row r="12" customFormat="false" ht="15" hidden="false" customHeight="false" outlineLevel="0" collapsed="false">
      <c r="A12" s="19" t="s">
        <v>277</v>
      </c>
      <c r="C12" s="20" t="n">
        <f aca="false">SUM(C11:E11)</f>
        <v>1182767.22</v>
      </c>
    </row>
    <row r="14" customFormat="false" ht="45" hidden="false" customHeight="true" outlineLevel="0" collapsed="false">
      <c r="A14" s="8" t="s">
        <v>278</v>
      </c>
      <c r="B14" s="8"/>
      <c r="C14" s="8"/>
      <c r="D14" s="8"/>
      <c r="E14" s="8"/>
      <c r="F14" s="8"/>
    </row>
  </sheetData>
  <mergeCells count="1"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2026-09-06T07:36:56Z</dcterms:created>
  <dc:creator>openpyxl</dc:creator>
  <dc:description/>
  <dc:language>en-US</dc:language>
  <cp:lastModifiedBy/>
  <dcterms:modified xsi:type="dcterms:W3CDTF">2026-09-06T07:36:56Z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