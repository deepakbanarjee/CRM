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_Register" sheetId="1" state="visible" r:id="rId3"/>
    <sheet name="Scoring_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<sst xmlns="http://schemas.openxmlformats.org/spreadsheetml/2006/main" count="188" uniqueCount="141">
  <si>
    <t xml:space="preserve">Risk Register</t>
  </si>
  <si>
    <t xml:space="preserve">Score = Likelihood x Impact (1-5 each). Rating: 15+ High, 8-14 Medium, under 8 Low. Blue cells are inputs; update at each steering call.</t>
  </si>
  <si>
    <t xml:space="preserve">ID</t>
  </si>
  <si>
    <t xml:space="preserve">Category</t>
  </si>
  <si>
    <t xml:space="preserve">Risk</t>
  </si>
  <si>
    <t xml:space="preserve">Likelihood (1-5)</t>
  </si>
  <si>
    <t xml:space="preserve">Impact (1-5)</t>
  </si>
  <si>
    <t xml:space="preserve">Score</t>
  </si>
  <si>
    <t xml:space="preserve">Rating</t>
  </si>
  <si>
    <t xml:space="preserve">Mitigation</t>
  </si>
  <si>
    <t xml:space="preserve">Owner</t>
  </si>
  <si>
    <t xml:space="preserve">Trigger / early indicator</t>
  </si>
  <si>
    <t xml:space="preserve">Status</t>
  </si>
  <si>
    <t xml:space="preserve">R01</t>
  </si>
  <si>
    <t xml:space="preserve">Data and compliance</t>
  </si>
  <si>
    <t xml:space="preserve">Client's legal team requires that no document text leaves the country, making Pattern A unusable for the pilot</t>
  </si>
  <si>
    <t xml:space="preserve">Settle residency in discovery (week 1); gateway supports in-region routing; sovereign pattern designed and priced; keep a small in-region model available for restricted classes</t>
  </si>
  <si>
    <t xml:space="preserve">Engagement lead</t>
  </si>
  <si>
    <t xml:space="preserve">Legal review outcome at discovery</t>
  </si>
  <si>
    <t xml:space="preserve">Open</t>
  </si>
  <si>
    <t xml:space="preserve">R02</t>
  </si>
  <si>
    <t xml:space="preserve">Personal data of investors and contacts stored or contacted without a lawful basis under Saudi or UAE PDPL</t>
  </si>
  <si>
    <t xml:space="preserve">Consent and lawful-basis fields per contact; outreach flag when consent missing; data protection checkpoint before real data; legal confirms basis per jurisdiction</t>
  </si>
  <si>
    <t xml:space="preserve">Client legal + PM</t>
  </si>
  <si>
    <t xml:space="preserve">Missing consent rate in import preview</t>
  </si>
  <si>
    <t xml:space="preserve">R03</t>
  </si>
  <si>
    <t xml:space="preserve">Frontier model availability or terms in GCC regions change during the project (cross-region inference, retention terms)</t>
  </si>
  <si>
    <t xml:space="preserve">Model gateway abstracts providers; re-verify availability at discovery and before go-live; open-weight fallback evaluated in Phase 3</t>
  </si>
  <si>
    <t xml:space="preserve">AI engineer</t>
  </si>
  <si>
    <t xml:space="preserve">Provider announcements; failed region checks</t>
  </si>
  <si>
    <t xml:space="preserve">R04</t>
  </si>
  <si>
    <t xml:space="preserve">Accuracy</t>
  </si>
  <si>
    <t xml:space="preserve">Claims extraction precision below target on messy scanned or Arabic documents</t>
  </si>
  <si>
    <t xml:space="preserve">Sample corpus in week 1 includes worst cases; OCR with layout analysis; confidence thresholds route low-confidence extractions to human review; tune prompts and tolerances in pilot</t>
  </si>
  <si>
    <t xml:space="preserve">Labelled-sample precision below 90% at week 6</t>
  </si>
  <si>
    <t xml:space="preserve">R05</t>
  </si>
  <si>
    <t xml:space="preserve">False-positive contradiction flags erode trust (superseded drafts, rounding, currency)</t>
  </si>
  <si>
    <t xml:space="preserve">Version detection and supersedes links; numeric tolerance and currency normalisation; adjudication pass with rationale; dismiss-with-reason feeds tuning; both quotes always shown</t>
  </si>
  <si>
    <t xml:space="preserve">False-positive rate above 15% in pilot</t>
  </si>
  <si>
    <t xml:space="preserve">R06</t>
  </si>
  <si>
    <t xml:space="preserve">Answers hallucinate or cite the wrong page</t>
  </si>
  <si>
    <t xml:space="preserve">Grounding check removes unsupported sentences; refusal when nothing survives; citation accuracy in golden set; regression gate in CI</t>
  </si>
  <si>
    <t xml:space="preserve">Citation accuracy below 95%</t>
  </si>
  <si>
    <t xml:space="preserve">R07</t>
  </si>
  <si>
    <t xml:space="preserve">Scope</t>
  </si>
  <si>
    <t xml:space="preserve">Decision types and evidence checklists not defined by the client, so gap tracking cannot be demonstrated</t>
  </si>
  <si>
    <t xml:space="preserve">Two discovery sessions dedicated to decision types; start with five; template library of common decisions as a fallback</t>
  </si>
  <si>
    <t xml:space="preserve">Product owner</t>
  </si>
  <si>
    <t xml:space="preserve">No catalogue by end of week 2</t>
  </si>
  <si>
    <t xml:space="preserve">R08</t>
  </si>
  <si>
    <t xml:space="preserve">Scope creep: additional connectors, ERP integration, mobile app requested during pilot</t>
  </si>
  <si>
    <t xml:space="preserve">Change control with impact on time and cost; Phase 5 roadmap holds requests; sponsor approves changes</t>
  </si>
  <si>
    <t xml:space="preserve">PM</t>
  </si>
  <si>
    <t xml:space="preserve">Requests outside SOW at steering</t>
  </si>
  <si>
    <t xml:space="preserve">R09</t>
  </si>
  <si>
    <t xml:space="preserve">Delivery</t>
  </si>
  <si>
    <t xml:space="preserve">Late client inputs (sample documents, identity access, mailbox consent) delay milestones</t>
  </si>
  <si>
    <t xml:space="preserve">Dependency list with dates; weekly steering; timeline extends by the delay per SOW; IT contact named at kick-off</t>
  </si>
  <si>
    <t xml:space="preserve">PM + client IT</t>
  </si>
  <si>
    <t xml:space="preserve">Dependency overdue by 5 days</t>
  </si>
  <si>
    <t xml:space="preserve">R10</t>
  </si>
  <si>
    <t xml:space="preserve">Key engineer unavailable mid-project</t>
  </si>
  <si>
    <t xml:space="preserve">Documented code and architecture; two engineers share knowledge from week 5; supplier bench cover</t>
  </si>
  <si>
    <t xml:space="preserve">Absence notice</t>
  </si>
  <si>
    <t xml:space="preserve">R11</t>
  </si>
  <si>
    <t xml:space="preserve">Underestimated effort for Arabic right-to-left interface and bilingual search</t>
  </si>
  <si>
    <t xml:space="preserve">Arabic in scope from Phase 1, not retrofitted; UX designer on Arabic layout; per-language evaluation</t>
  </si>
  <si>
    <t xml:space="preserve">Full-stack engineer</t>
  </si>
  <si>
    <t xml:space="preserve">Arabic golden-set scores lag English by more than 10 points</t>
  </si>
  <si>
    <t xml:space="preserve">R12</t>
  </si>
  <si>
    <t xml:space="preserve">Security</t>
  </si>
  <si>
    <t xml:space="preserve">Prompt injection via a malicious or crafted document changes assistant behaviour</t>
  </si>
  <si>
    <t xml:space="preserve">Retrieved text treated as data with delimiters; injection-pattern flags at ingestion; no tool actions from the assistant; penetration test includes injection cases</t>
  </si>
  <si>
    <t xml:space="preserve">Security specialist</t>
  </si>
  <si>
    <t xml:space="preserve">Injection test failures</t>
  </si>
  <si>
    <t xml:space="preserve">R13</t>
  </si>
  <si>
    <t xml:space="preserve">Access control mis-configuration exposes restricted documents to unauthorised users</t>
  </si>
  <si>
    <t xml:space="preserve">Row-level security in database; ACL mirrored from source; permission tests in CI; access review at go-live</t>
  </si>
  <si>
    <t xml:space="preserve">Failed permission test; audit anomaly</t>
  </si>
  <si>
    <t xml:space="preserve">R14</t>
  </si>
  <si>
    <t xml:space="preserve">Staff bypass the approval gate by sending from personal mailboxes</t>
  </si>
  <si>
    <t xml:space="preserve">Policy plus reporting of approved-route sends; connected mailbox captures replies; management review of outreach volumes</t>
  </si>
  <si>
    <t xml:space="preserve">Client compliance</t>
  </si>
  <si>
    <t xml:space="preserve">Outreach volumes drop while replies rise</t>
  </si>
  <si>
    <t xml:space="preserve">R15</t>
  </si>
  <si>
    <t xml:space="preserve">Cost</t>
  </si>
  <si>
    <t xml:space="preserve">AI usage costs exceed pilot budget due to heavy re-indexing or long documents</t>
  </si>
  <si>
    <t xml:space="preserve">Gateway budgets and alerts; batch and caching on ingestion; Sonnet for routine questions; monthly usage report</t>
  </si>
  <si>
    <t xml:space="preserve">Spend above 120% of forecast</t>
  </si>
  <si>
    <t xml:space="preserve">R16</t>
  </si>
  <si>
    <t xml:space="preserve">Sovereign GPU hosting cost higher than modelled or capacity unavailable in region</t>
  </si>
  <si>
    <t xml:space="preserve">Reserved pricing; right-size model (smaller open-weight model for routine tasks); decide after pilot with measured usage</t>
  </si>
  <si>
    <t xml:space="preserve">Quotes above model by more than 25%</t>
  </si>
  <si>
    <t xml:space="preserve">R17</t>
  </si>
  <si>
    <t xml:space="preserve">Adoption</t>
  </si>
  <si>
    <t xml:space="preserve">Relationship managers do not log interactions, so reporting and reminders are unreliable</t>
  </si>
  <si>
    <t xml:space="preserve">Pilot champions; mailbox and calendar capture reduce manual logging; simple mobile-friendly forms; management uses the dashboards visibly</t>
  </si>
  <si>
    <t xml:space="preserve">Interactions logged per user per week below target</t>
  </si>
  <si>
    <t xml:space="preserve">R18</t>
  </si>
  <si>
    <t xml:space="preserve">Executives lose trust after an early wrong answer</t>
  </si>
  <si>
    <t xml:space="preserve">Set expectations: cited, checkable answers; show refusals as a feature; weekly accuracy reporting; feedback button on every answer</t>
  </si>
  <si>
    <t xml:space="preserve">Usage drop after an incident</t>
  </si>
  <si>
    <t xml:space="preserve">R19</t>
  </si>
  <si>
    <t xml:space="preserve">Vendor</t>
  </si>
  <si>
    <t xml:space="preserve">Third-party service (embedding, OCR, hosting) price or terms change</t>
  </si>
  <si>
    <t xml:space="preserve">All components swappable; alternatives listed in Document 06; contracts in the client's name</t>
  </si>
  <si>
    <t xml:space="preserve">Vendor notice</t>
  </si>
  <si>
    <t xml:space="preserve">R20</t>
  </si>
  <si>
    <t xml:space="preserve">Commercial</t>
  </si>
  <si>
    <t xml:space="preserve">Client expects a single fixed price before discovery</t>
  </si>
  <si>
    <t xml:space="preserve">Present tiers and structure; offer fixed price for discovery and demo; workbook transparency</t>
  </si>
  <si>
    <t xml:space="preserve">Procurement asks for a total before week 0</t>
  </si>
  <si>
    <t xml:space="preserve">R21</t>
  </si>
  <si>
    <t xml:space="preserve">Operational</t>
  </si>
  <si>
    <t xml:space="preserve">Production incident without an on-call arrangement in the departmental tier</t>
  </si>
  <si>
    <t xml:space="preserve">Support tier chosen before go-live; runbooks; monitoring alerts to a named rota</t>
  </si>
  <si>
    <t xml:space="preserve">DevOps specialist</t>
  </si>
  <si>
    <t xml:space="preserve">Incident outside business hours</t>
  </si>
  <si>
    <t xml:space="preserve">R22</t>
  </si>
  <si>
    <t xml:space="preserve">Backups not restorable when needed</t>
  </si>
  <si>
    <t xml:space="preserve">Quarterly restore tests; point-in-time recovery; cross-region copy at enterprise tier</t>
  </si>
  <si>
    <t xml:space="preserve">Failed restore test</t>
  </si>
  <si>
    <t xml:space="preserve">Summary</t>
  </si>
  <si>
    <t xml:space="preserve">High</t>
  </si>
  <si>
    <t xml:space="preserve">Medium</t>
  </si>
  <si>
    <t xml:space="preserve">Low</t>
  </si>
  <si>
    <t xml:space="preserve">Average score</t>
  </si>
  <si>
    <t xml:space="preserve">Scoring guide</t>
  </si>
  <si>
    <t xml:space="preserve">Use these definitions to keep scores consistent across reviewers.</t>
  </si>
  <si>
    <t xml:space="preserve">Likelihood</t>
  </si>
  <si>
    <t xml:space="preserve">Impact</t>
  </si>
  <si>
    <t xml:space="preserve">Rare: not expected in this project</t>
  </si>
  <si>
    <t xml:space="preserve">Negligible: absorbed within the week</t>
  </si>
  <si>
    <t xml:space="preserve">Unlikely: could occur</t>
  </si>
  <si>
    <t xml:space="preserve">Minor: under one week delay or under 2% cost</t>
  </si>
  <si>
    <t xml:space="preserve">Possible: may well occur</t>
  </si>
  <si>
    <t xml:space="preserve">Moderate: one to three weeks delay or 2-8% cost</t>
  </si>
  <si>
    <t xml:space="preserve">Likely: expected at least once</t>
  </si>
  <si>
    <t xml:space="preserve">Major: milestone slip or 8-20% cost; trust affected</t>
  </si>
  <si>
    <t xml:space="preserve">Almost certain</t>
  </si>
  <si>
    <t xml:space="preserve">Severe: project viability, regulatory breach, or data exposure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</si>
</sst>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i val="true"/>
      <sz val="10"/>
      <color rgb="FF5A62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D"/>
      </left>
      <right style="thin">
        <color rgb="FFC9CFDD"/>
      </right>
      <top style="thin">
        <color rgb="FFC9CFDD"/>
      </top>
      <bottom style="thin">
        <color rgb="FFC9CF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F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A6270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52"/>
    <col collapsed="false" customWidth="true" hidden="false" outlineLevel="0" max="9" min="9" style="0" width="22"/>
    <col collapsed="false" customWidth="true" hidden="false" outlineLevel="0" max="10" min="10" style="0" width="34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35.05" hidden="false" customHeight="false" outlineLevel="0" collapsed="false">
      <c r="A5" s="4" t="s">
        <v>13</v>
      </c>
      <c r="B5" s="4" t="s">
        <v>14</v>
      </c>
      <c r="C5" s="4" t="s">
        <v>15</v>
      </c>
      <c r="D5" s="5" t="n">
        <v>3</v>
      </c>
      <c r="E5" s="5" t="n">
        <v>4</v>
      </c>
      <c r="F5" s="4" t="n">
        <f aca="false">D5*E5</f>
        <v>12</v>
      </c>
      <c r="G5" s="4" t="str">
        <f aca="false">IF(F5&gt;=15,"High",IF(F5&gt;=8,"Medium","Low"))</f>
        <v>Medium</v>
      </c>
      <c r="H5" s="4" t="s">
        <v>16</v>
      </c>
      <c r="I5" s="4" t="s">
        <v>17</v>
      </c>
      <c r="J5" s="4" t="s">
        <v>18</v>
      </c>
      <c r="K5" s="5" t="s">
        <v>19</v>
      </c>
    </row>
    <row r="6" customFormat="false" ht="23.85" hidden="false" customHeight="false" outlineLevel="0" collapsed="false">
      <c r="A6" s="4" t="s">
        <v>20</v>
      </c>
      <c r="B6" s="4" t="s">
        <v>14</v>
      </c>
      <c r="C6" s="4" t="s">
        <v>21</v>
      </c>
      <c r="D6" s="5" t="n">
        <v>3</v>
      </c>
      <c r="E6" s="5" t="n">
        <v>5</v>
      </c>
      <c r="F6" s="4" t="n">
        <f aca="false">D6*E6</f>
        <v>15</v>
      </c>
      <c r="G6" s="4" t="str">
        <f aca="false">IF(F6&gt;=15,"High",IF(F6&gt;=8,"Medium","Low"))</f>
        <v>High</v>
      </c>
      <c r="H6" s="4" t="s">
        <v>22</v>
      </c>
      <c r="I6" s="4" t="s">
        <v>23</v>
      </c>
      <c r="J6" s="4" t="s">
        <v>24</v>
      </c>
      <c r="K6" s="5" t="s">
        <v>19</v>
      </c>
    </row>
    <row r="7" customFormat="false" ht="23.85" hidden="false" customHeight="false" outlineLevel="0" collapsed="false">
      <c r="A7" s="4" t="s">
        <v>25</v>
      </c>
      <c r="B7" s="4" t="s">
        <v>14</v>
      </c>
      <c r="C7" s="4" t="s">
        <v>26</v>
      </c>
      <c r="D7" s="5" t="n">
        <v>3</v>
      </c>
      <c r="E7" s="5" t="n">
        <v>3</v>
      </c>
      <c r="F7" s="4" t="n">
        <f aca="false">D7*E7</f>
        <v>9</v>
      </c>
      <c r="G7" s="4" t="str">
        <f aca="false">IF(F7&gt;=15,"High",IF(F7&gt;=8,"Medium","Low"))</f>
        <v>Medium</v>
      </c>
      <c r="H7" s="4" t="s">
        <v>27</v>
      </c>
      <c r="I7" s="4" t="s">
        <v>28</v>
      </c>
      <c r="J7" s="4" t="s">
        <v>29</v>
      </c>
      <c r="K7" s="5" t="s">
        <v>19</v>
      </c>
    </row>
    <row r="8" customFormat="false" ht="35.05" hidden="false" customHeight="false" outlineLevel="0" collapsed="false">
      <c r="A8" s="4" t="s">
        <v>30</v>
      </c>
      <c r="B8" s="4" t="s">
        <v>31</v>
      </c>
      <c r="C8" s="4" t="s">
        <v>32</v>
      </c>
      <c r="D8" s="5" t="n">
        <v>4</v>
      </c>
      <c r="E8" s="5" t="n">
        <v>4</v>
      </c>
      <c r="F8" s="4" t="n">
        <f aca="false">D8*E8</f>
        <v>16</v>
      </c>
      <c r="G8" s="4" t="str">
        <f aca="false">IF(F8&gt;=15,"High",IF(F8&gt;=8,"Medium","Low"))</f>
        <v>High</v>
      </c>
      <c r="H8" s="4" t="s">
        <v>33</v>
      </c>
      <c r="I8" s="4" t="s">
        <v>28</v>
      </c>
      <c r="J8" s="4" t="s">
        <v>34</v>
      </c>
      <c r="K8" s="5" t="s">
        <v>19</v>
      </c>
    </row>
    <row r="9" customFormat="false" ht="35.05" hidden="false" customHeight="false" outlineLevel="0" collapsed="false">
      <c r="A9" s="4" t="s">
        <v>35</v>
      </c>
      <c r="B9" s="4" t="s">
        <v>31</v>
      </c>
      <c r="C9" s="4" t="s">
        <v>36</v>
      </c>
      <c r="D9" s="5" t="n">
        <v>4</v>
      </c>
      <c r="E9" s="5" t="n">
        <v>3</v>
      </c>
      <c r="F9" s="4" t="n">
        <f aca="false">D9*E9</f>
        <v>12</v>
      </c>
      <c r="G9" s="4" t="str">
        <f aca="false">IF(F9&gt;=15,"High",IF(F9&gt;=8,"Medium","Low"))</f>
        <v>Medium</v>
      </c>
      <c r="H9" s="4" t="s">
        <v>37</v>
      </c>
      <c r="I9" s="4" t="s">
        <v>28</v>
      </c>
      <c r="J9" s="4" t="s">
        <v>38</v>
      </c>
      <c r="K9" s="5" t="s">
        <v>19</v>
      </c>
    </row>
    <row r="10" customFormat="false" ht="23.85" hidden="false" customHeight="false" outlineLevel="0" collapsed="false">
      <c r="A10" s="4" t="s">
        <v>39</v>
      </c>
      <c r="B10" s="4" t="s">
        <v>31</v>
      </c>
      <c r="C10" s="4" t="s">
        <v>40</v>
      </c>
      <c r="D10" s="5" t="n">
        <v>2</v>
      </c>
      <c r="E10" s="5" t="n">
        <v>5</v>
      </c>
      <c r="F10" s="4" t="n">
        <f aca="false">D10*E10</f>
        <v>10</v>
      </c>
      <c r="G10" s="4" t="str">
        <f aca="false">IF(F10&gt;=15,"High",IF(F10&gt;=8,"Medium","Low"))</f>
        <v>Medium</v>
      </c>
      <c r="H10" s="4" t="s">
        <v>41</v>
      </c>
      <c r="I10" s="4" t="s">
        <v>28</v>
      </c>
      <c r="J10" s="4" t="s">
        <v>42</v>
      </c>
      <c r="K10" s="5" t="s">
        <v>19</v>
      </c>
    </row>
    <row r="11" customFormat="false" ht="23.85" hidden="false" customHeight="false" outlineLevel="0" collapsed="false">
      <c r="A11" s="4" t="s">
        <v>43</v>
      </c>
      <c r="B11" s="4" t="s">
        <v>44</v>
      </c>
      <c r="C11" s="4" t="s">
        <v>45</v>
      </c>
      <c r="D11" s="5" t="n">
        <v>3</v>
      </c>
      <c r="E11" s="5" t="n">
        <v>4</v>
      </c>
      <c r="F11" s="4" t="n">
        <f aca="false">D11*E11</f>
        <v>12</v>
      </c>
      <c r="G11" s="4" t="str">
        <f aca="false">IF(F11&gt;=15,"High",IF(F11&gt;=8,"Medium","Low"))</f>
        <v>Medium</v>
      </c>
      <c r="H11" s="4" t="s">
        <v>46</v>
      </c>
      <c r="I11" s="4" t="s">
        <v>47</v>
      </c>
      <c r="J11" s="4" t="s">
        <v>48</v>
      </c>
      <c r="K11" s="5" t="s">
        <v>19</v>
      </c>
    </row>
    <row r="12" customFormat="false" ht="23.85" hidden="false" customHeight="false" outlineLevel="0" collapsed="false">
      <c r="A12" s="4" t="s">
        <v>49</v>
      </c>
      <c r="B12" s="4" t="s">
        <v>44</v>
      </c>
      <c r="C12" s="4" t="s">
        <v>50</v>
      </c>
      <c r="D12" s="5" t="n">
        <v>4</v>
      </c>
      <c r="E12" s="5" t="n">
        <v>3</v>
      </c>
      <c r="F12" s="4" t="n">
        <f aca="false">D12*E12</f>
        <v>12</v>
      </c>
      <c r="G12" s="4" t="str">
        <f aca="false">IF(F12&gt;=15,"High",IF(F12&gt;=8,"Medium","Low"))</f>
        <v>Medium</v>
      </c>
      <c r="H12" s="4" t="s">
        <v>51</v>
      </c>
      <c r="I12" s="4" t="s">
        <v>52</v>
      </c>
      <c r="J12" s="4" t="s">
        <v>53</v>
      </c>
      <c r="K12" s="5" t="s">
        <v>19</v>
      </c>
    </row>
    <row r="13" customFormat="false" ht="23.85" hidden="false" customHeight="false" outlineLevel="0" collapsed="false">
      <c r="A13" s="4" t="s">
        <v>54</v>
      </c>
      <c r="B13" s="4" t="s">
        <v>55</v>
      </c>
      <c r="C13" s="4" t="s">
        <v>56</v>
      </c>
      <c r="D13" s="5" t="n">
        <v>4</v>
      </c>
      <c r="E13" s="5" t="n">
        <v>3</v>
      </c>
      <c r="F13" s="4" t="n">
        <f aca="false">D13*E13</f>
        <v>12</v>
      </c>
      <c r="G13" s="4" t="str">
        <f aca="false">IF(F13&gt;=15,"High",IF(F13&gt;=8,"Medium","Low"))</f>
        <v>Medium</v>
      </c>
      <c r="H13" s="4" t="s">
        <v>57</v>
      </c>
      <c r="I13" s="4" t="s">
        <v>58</v>
      </c>
      <c r="J13" s="4" t="s">
        <v>59</v>
      </c>
      <c r="K13" s="5" t="s">
        <v>19</v>
      </c>
    </row>
    <row r="14" customFormat="false" ht="23.85" hidden="false" customHeight="false" outlineLevel="0" collapsed="false">
      <c r="A14" s="4" t="s">
        <v>60</v>
      </c>
      <c r="B14" s="4" t="s">
        <v>55</v>
      </c>
      <c r="C14" s="4" t="s">
        <v>61</v>
      </c>
      <c r="D14" s="5" t="n">
        <v>2</v>
      </c>
      <c r="E14" s="5" t="n">
        <v>4</v>
      </c>
      <c r="F14" s="4" t="n">
        <f aca="false">D14*E14</f>
        <v>8</v>
      </c>
      <c r="G14" s="4" t="str">
        <f aca="false">IF(F14&gt;=15,"High",IF(F14&gt;=8,"Medium","Low"))</f>
        <v>Medium</v>
      </c>
      <c r="H14" s="4" t="s">
        <v>62</v>
      </c>
      <c r="I14" s="4" t="s">
        <v>17</v>
      </c>
      <c r="J14" s="4" t="s">
        <v>63</v>
      </c>
      <c r="K14" s="5" t="s">
        <v>19</v>
      </c>
    </row>
    <row r="15" customFormat="false" ht="23.85" hidden="false" customHeight="false" outlineLevel="0" collapsed="false">
      <c r="A15" s="4" t="s">
        <v>64</v>
      </c>
      <c r="B15" s="4" t="s">
        <v>55</v>
      </c>
      <c r="C15" s="4" t="s">
        <v>65</v>
      </c>
      <c r="D15" s="5" t="n">
        <v>3</v>
      </c>
      <c r="E15" s="5" t="n">
        <v>3</v>
      </c>
      <c r="F15" s="4" t="n">
        <f aca="false">D15*E15</f>
        <v>9</v>
      </c>
      <c r="G15" s="4" t="str">
        <f aca="false">IF(F15&gt;=15,"High",IF(F15&gt;=8,"Medium","Low"))</f>
        <v>Medium</v>
      </c>
      <c r="H15" s="4" t="s">
        <v>66</v>
      </c>
      <c r="I15" s="4" t="s">
        <v>67</v>
      </c>
      <c r="J15" s="4" t="s">
        <v>68</v>
      </c>
      <c r="K15" s="5" t="s">
        <v>19</v>
      </c>
    </row>
    <row r="16" customFormat="false" ht="23.85" hidden="false" customHeight="false" outlineLevel="0" collapsed="false">
      <c r="A16" s="4" t="s">
        <v>69</v>
      </c>
      <c r="B16" s="4" t="s">
        <v>70</v>
      </c>
      <c r="C16" s="4" t="s">
        <v>71</v>
      </c>
      <c r="D16" s="5" t="n">
        <v>2</v>
      </c>
      <c r="E16" s="5" t="n">
        <v>4</v>
      </c>
      <c r="F16" s="4" t="n">
        <f aca="false">D16*E16</f>
        <v>8</v>
      </c>
      <c r="G16" s="4" t="str">
        <f aca="false">IF(F16&gt;=15,"High",IF(F16&gt;=8,"Medium","Low"))</f>
        <v>Medium</v>
      </c>
      <c r="H16" s="4" t="s">
        <v>72</v>
      </c>
      <c r="I16" s="4" t="s">
        <v>73</v>
      </c>
      <c r="J16" s="4" t="s">
        <v>74</v>
      </c>
      <c r="K16" s="5" t="s">
        <v>19</v>
      </c>
    </row>
    <row r="17" customFormat="false" ht="23.85" hidden="false" customHeight="false" outlineLevel="0" collapsed="false">
      <c r="A17" s="4" t="s">
        <v>75</v>
      </c>
      <c r="B17" s="4" t="s">
        <v>70</v>
      </c>
      <c r="C17" s="4" t="s">
        <v>76</v>
      </c>
      <c r="D17" s="5" t="n">
        <v>2</v>
      </c>
      <c r="E17" s="5" t="n">
        <v>5</v>
      </c>
      <c r="F17" s="4" t="n">
        <f aca="false">D17*E17</f>
        <v>10</v>
      </c>
      <c r="G17" s="4" t="str">
        <f aca="false">IF(F17&gt;=15,"High",IF(F17&gt;=8,"Medium","Low"))</f>
        <v>Medium</v>
      </c>
      <c r="H17" s="4" t="s">
        <v>77</v>
      </c>
      <c r="I17" s="4" t="s">
        <v>73</v>
      </c>
      <c r="J17" s="4" t="s">
        <v>78</v>
      </c>
      <c r="K17" s="5" t="s">
        <v>19</v>
      </c>
    </row>
    <row r="18" customFormat="false" ht="23.85" hidden="false" customHeight="false" outlineLevel="0" collapsed="false">
      <c r="A18" s="4" t="s">
        <v>79</v>
      </c>
      <c r="B18" s="4" t="s">
        <v>70</v>
      </c>
      <c r="C18" s="4" t="s">
        <v>80</v>
      </c>
      <c r="D18" s="5" t="n">
        <v>3</v>
      </c>
      <c r="E18" s="5" t="n">
        <v>2</v>
      </c>
      <c r="F18" s="4" t="n">
        <f aca="false">D18*E18</f>
        <v>6</v>
      </c>
      <c r="G18" s="4" t="str">
        <f aca="false">IF(F18&gt;=15,"High",IF(F18&gt;=8,"Medium","Low"))</f>
        <v>Low</v>
      </c>
      <c r="H18" s="4" t="s">
        <v>81</v>
      </c>
      <c r="I18" s="4" t="s">
        <v>82</v>
      </c>
      <c r="J18" s="4" t="s">
        <v>83</v>
      </c>
      <c r="K18" s="5" t="s">
        <v>19</v>
      </c>
    </row>
    <row r="19" customFormat="false" ht="23.85" hidden="false" customHeight="false" outlineLevel="0" collapsed="false">
      <c r="A19" s="4" t="s">
        <v>84</v>
      </c>
      <c r="B19" s="4" t="s">
        <v>85</v>
      </c>
      <c r="C19" s="4" t="s">
        <v>86</v>
      </c>
      <c r="D19" s="5" t="n">
        <v>2</v>
      </c>
      <c r="E19" s="5" t="n">
        <v>2</v>
      </c>
      <c r="F19" s="4" t="n">
        <f aca="false">D19*E19</f>
        <v>4</v>
      </c>
      <c r="G19" s="4" t="str">
        <f aca="false">IF(F19&gt;=15,"High",IF(F19&gt;=8,"Medium","Low"))</f>
        <v>Low</v>
      </c>
      <c r="H19" s="4" t="s">
        <v>87</v>
      </c>
      <c r="I19" s="4" t="s">
        <v>28</v>
      </c>
      <c r="J19" s="4" t="s">
        <v>88</v>
      </c>
      <c r="K19" s="5" t="s">
        <v>19</v>
      </c>
    </row>
    <row r="20" customFormat="false" ht="23.85" hidden="false" customHeight="false" outlineLevel="0" collapsed="false">
      <c r="A20" s="4" t="s">
        <v>89</v>
      </c>
      <c r="B20" s="4" t="s">
        <v>85</v>
      </c>
      <c r="C20" s="4" t="s">
        <v>90</v>
      </c>
      <c r="D20" s="5" t="n">
        <v>3</v>
      </c>
      <c r="E20" s="5" t="n">
        <v>3</v>
      </c>
      <c r="F20" s="4" t="n">
        <f aca="false">D20*E20</f>
        <v>9</v>
      </c>
      <c r="G20" s="4" t="str">
        <f aca="false">IF(F20&gt;=15,"High",IF(F20&gt;=8,"Medium","Low"))</f>
        <v>Medium</v>
      </c>
      <c r="H20" s="4" t="s">
        <v>91</v>
      </c>
      <c r="I20" s="4" t="s">
        <v>17</v>
      </c>
      <c r="J20" s="4" t="s">
        <v>92</v>
      </c>
      <c r="K20" s="5" t="s">
        <v>19</v>
      </c>
    </row>
    <row r="21" customFormat="false" ht="23.85" hidden="false" customHeight="false" outlineLevel="0" collapsed="false">
      <c r="A21" s="4" t="s">
        <v>93</v>
      </c>
      <c r="B21" s="4" t="s">
        <v>94</v>
      </c>
      <c r="C21" s="4" t="s">
        <v>95</v>
      </c>
      <c r="D21" s="5" t="n">
        <v>4</v>
      </c>
      <c r="E21" s="5" t="n">
        <v>4</v>
      </c>
      <c r="F21" s="4" t="n">
        <f aca="false">D21*E21</f>
        <v>16</v>
      </c>
      <c r="G21" s="4" t="str">
        <f aca="false">IF(F21&gt;=15,"High",IF(F21&gt;=8,"Medium","Low"))</f>
        <v>High</v>
      </c>
      <c r="H21" s="4" t="s">
        <v>96</v>
      </c>
      <c r="I21" s="4" t="s">
        <v>47</v>
      </c>
      <c r="J21" s="4" t="s">
        <v>97</v>
      </c>
      <c r="K21" s="5" t="s">
        <v>19</v>
      </c>
    </row>
    <row r="22" customFormat="false" ht="23.85" hidden="false" customHeight="false" outlineLevel="0" collapsed="false">
      <c r="A22" s="4" t="s">
        <v>98</v>
      </c>
      <c r="B22" s="4" t="s">
        <v>94</v>
      </c>
      <c r="C22" s="4" t="s">
        <v>99</v>
      </c>
      <c r="D22" s="5" t="n">
        <v>3</v>
      </c>
      <c r="E22" s="5" t="n">
        <v>4</v>
      </c>
      <c r="F22" s="4" t="n">
        <f aca="false">D22*E22</f>
        <v>12</v>
      </c>
      <c r="G22" s="4" t="str">
        <f aca="false">IF(F22&gt;=15,"High",IF(F22&gt;=8,"Medium","Low"))</f>
        <v>Medium</v>
      </c>
      <c r="H22" s="4" t="s">
        <v>100</v>
      </c>
      <c r="I22" s="4" t="s">
        <v>17</v>
      </c>
      <c r="J22" s="4" t="s">
        <v>101</v>
      </c>
      <c r="K22" s="5" t="s">
        <v>19</v>
      </c>
    </row>
    <row r="23" customFormat="false" ht="23.85" hidden="false" customHeight="false" outlineLevel="0" collapsed="false">
      <c r="A23" s="4" t="s">
        <v>102</v>
      </c>
      <c r="B23" s="4" t="s">
        <v>103</v>
      </c>
      <c r="C23" s="4" t="s">
        <v>104</v>
      </c>
      <c r="D23" s="5" t="n">
        <v>2</v>
      </c>
      <c r="E23" s="5" t="n">
        <v>2</v>
      </c>
      <c r="F23" s="4" t="n">
        <f aca="false">D23*E23</f>
        <v>4</v>
      </c>
      <c r="G23" s="4" t="str">
        <f aca="false">IF(F23&gt;=15,"High",IF(F23&gt;=8,"Medium","Low"))</f>
        <v>Low</v>
      </c>
      <c r="H23" s="4" t="s">
        <v>105</v>
      </c>
      <c r="I23" s="4" t="s">
        <v>52</v>
      </c>
      <c r="J23" s="4" t="s">
        <v>106</v>
      </c>
      <c r="K23" s="5" t="s">
        <v>19</v>
      </c>
    </row>
    <row r="24" customFormat="false" ht="23.85" hidden="false" customHeight="false" outlineLevel="0" collapsed="false">
      <c r="A24" s="4" t="s">
        <v>107</v>
      </c>
      <c r="B24" s="4" t="s">
        <v>108</v>
      </c>
      <c r="C24" s="4" t="s">
        <v>109</v>
      </c>
      <c r="D24" s="5" t="n">
        <v>3</v>
      </c>
      <c r="E24" s="5" t="n">
        <v>3</v>
      </c>
      <c r="F24" s="4" t="n">
        <f aca="false">D24*E24</f>
        <v>9</v>
      </c>
      <c r="G24" s="4" t="str">
        <f aca="false">IF(F24&gt;=15,"High",IF(F24&gt;=8,"Medium","Low"))</f>
        <v>Medium</v>
      </c>
      <c r="H24" s="4" t="s">
        <v>110</v>
      </c>
      <c r="I24" s="4" t="s">
        <v>17</v>
      </c>
      <c r="J24" s="4" t="s">
        <v>111</v>
      </c>
      <c r="K24" s="5" t="s">
        <v>19</v>
      </c>
    </row>
    <row r="25" customFormat="false" ht="23.85" hidden="false" customHeight="false" outlineLevel="0" collapsed="false">
      <c r="A25" s="4" t="s">
        <v>112</v>
      </c>
      <c r="B25" s="4" t="s">
        <v>113</v>
      </c>
      <c r="C25" s="4" t="s">
        <v>114</v>
      </c>
      <c r="D25" s="5" t="n">
        <v>2</v>
      </c>
      <c r="E25" s="5" t="n">
        <v>3</v>
      </c>
      <c r="F25" s="4" t="n">
        <f aca="false">D25*E25</f>
        <v>6</v>
      </c>
      <c r="G25" s="4" t="str">
        <f aca="false">IF(F25&gt;=15,"High",IF(F25&gt;=8,"Medium","Low"))</f>
        <v>Low</v>
      </c>
      <c r="H25" s="4" t="s">
        <v>115</v>
      </c>
      <c r="I25" s="4" t="s">
        <v>116</v>
      </c>
      <c r="J25" s="4" t="s">
        <v>117</v>
      </c>
      <c r="K25" s="5" t="s">
        <v>19</v>
      </c>
    </row>
    <row r="26" customFormat="false" ht="23.85" hidden="false" customHeight="false" outlineLevel="0" collapsed="false">
      <c r="A26" s="4" t="s">
        <v>118</v>
      </c>
      <c r="B26" s="4" t="s">
        <v>113</v>
      </c>
      <c r="C26" s="4" t="s">
        <v>119</v>
      </c>
      <c r="D26" s="5" t="n">
        <v>1</v>
      </c>
      <c r="E26" s="5" t="n">
        <v>5</v>
      </c>
      <c r="F26" s="4" t="n">
        <f aca="false">D26*E26</f>
        <v>5</v>
      </c>
      <c r="G26" s="4" t="str">
        <f aca="false">IF(F26&gt;=15,"High",IF(F26&gt;=8,"Medium","Low"))</f>
        <v>Low</v>
      </c>
      <c r="H26" s="4" t="s">
        <v>120</v>
      </c>
      <c r="I26" s="4" t="s">
        <v>116</v>
      </c>
      <c r="J26" s="4" t="s">
        <v>121</v>
      </c>
      <c r="K26" s="5" t="s">
        <v>19</v>
      </c>
    </row>
    <row r="28" customFormat="false" ht="15" hidden="false" customHeight="false" outlineLevel="0" collapsed="false">
      <c r="A28" s="6" t="s">
        <v>122</v>
      </c>
    </row>
    <row r="29" customFormat="false" ht="15" hidden="false" customHeight="false" outlineLevel="0" collapsed="false">
      <c r="A29" s="4" t="s">
        <v>123</v>
      </c>
      <c r="B29" s="4" t="n">
        <f aca="false">COUNTIF(G5:G26,"High")</f>
        <v>3</v>
      </c>
    </row>
    <row r="30" customFormat="false" ht="15" hidden="false" customHeight="false" outlineLevel="0" collapsed="false">
      <c r="A30" s="4" t="s">
        <v>124</v>
      </c>
      <c r="B30" s="4" t="n">
        <f aca="false">COUNTIF(G5:G26,"Medium")</f>
        <v>14</v>
      </c>
    </row>
    <row r="31" customFormat="false" ht="15" hidden="false" customHeight="false" outlineLevel="0" collapsed="false">
      <c r="A31" s="4" t="s">
        <v>125</v>
      </c>
      <c r="B31" s="4" t="n">
        <f aca="false">COUNTIF(G5:G26,"Low")</f>
        <v>5</v>
      </c>
    </row>
    <row r="32" customFormat="false" ht="15" hidden="false" customHeight="false" outlineLevel="0" collapsed="false">
      <c r="A32" s="4" t="s">
        <v>19</v>
      </c>
      <c r="B32" s="4" t="n">
        <f aca="false">COUNTIF(K5:K26,"Open")</f>
        <v>22</v>
      </c>
    </row>
    <row r="33" customFormat="false" ht="23.85" hidden="false" customHeight="false" outlineLevel="0" collapsed="false">
      <c r="A33" s="4" t="s">
        <v>126</v>
      </c>
      <c r="B33" s="7" t="n">
        <f aca="false">AVERAGE(F5:F26)</f>
        <v>9.81818181818182</v>
      </c>
    </row>
  </sheetData>
  <conditionalFormatting sqref="G5:G26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dataValidations count="2">
    <dataValidation allowBlank="false" errorStyle="stop" operator="between" showDropDown="false" showErrorMessage="false" showInputMessage="false" sqref="D5:E26" type="whole">
      <formula1>1</formula1>
      <formula2>5</formula2>
    </dataValidation>
    <dataValidation allowBlank="false" errorStyle="stop" operator="between" showDropDown="false" showErrorMessage="false" showInputMessage="false" sqref="K5:K26" type="list">
      <formula1>"Open,Mitigating,Closed,Accepted"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40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31.5" hidden="false" customHeight="true" outlineLevel="0" collapsed="false">
      <c r="A4" s="3" t="s">
        <v>7</v>
      </c>
      <c r="B4" s="3" t="s">
        <v>129</v>
      </c>
      <c r="C4" s="3" t="s">
        <v>130</v>
      </c>
    </row>
    <row r="5" customFormat="false" ht="15" hidden="false" customHeight="false" outlineLevel="0" collapsed="false">
      <c r="A5" s="4" t="n">
        <v>1</v>
      </c>
      <c r="B5" s="4" t="s">
        <v>131</v>
      </c>
      <c r="C5" s="4" t="s">
        <v>132</v>
      </c>
    </row>
    <row r="6" customFormat="false" ht="15" hidden="false" customHeight="false" outlineLevel="0" collapsed="false">
      <c r="A6" s="4" t="n">
        <v>2</v>
      </c>
      <c r="B6" s="4" t="s">
        <v>133</v>
      </c>
      <c r="C6" s="4" t="s">
        <v>134</v>
      </c>
    </row>
    <row r="7" customFormat="false" ht="15" hidden="false" customHeight="false" outlineLevel="0" collapsed="false">
      <c r="A7" s="4" t="n">
        <v>3</v>
      </c>
      <c r="B7" s="4" t="s">
        <v>135</v>
      </c>
      <c r="C7" s="4" t="s">
        <v>136</v>
      </c>
    </row>
    <row r="8" customFormat="false" ht="15" hidden="false" customHeight="false" outlineLevel="0" collapsed="false">
      <c r="A8" s="4" t="n">
        <v>4</v>
      </c>
      <c r="B8" s="4" t="s">
        <v>137</v>
      </c>
      <c r="C8" s="4" t="s">
        <v>138</v>
      </c>
    </row>
    <row r="9" customFormat="false" ht="15" hidden="false" customHeight="false" outlineLevel="0" collapsed="false">
      <c r="A9" s="4" t="n">
        <v>5</v>
      </c>
      <c r="B9" s="4" t="s">
        <v>139</v>
      </c>
      <c r="C9" s="4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2026-09-06T07:36:56Z</dcterms:created>
  <dc:creator>openpyxl</dc:creator>
  <dc:description/>
  <dc:language>en-US</dc:language>
  <cp:lastModifiedBy/>
  <dcterms:modified xsi:type="dcterms:W3CDTF">2026-09-06T07:36:56Z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